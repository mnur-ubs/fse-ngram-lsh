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gujian_100_Sampel" sheetId="1" r:id="rId4"/>
    <sheet name="Analisis_Sensitivitas" sheetId="2" r:id="rId5"/>
    <sheet name="Proyeksi_Skalabilitas" sheetId="3" r:id="rId6"/>
    <sheet name="Diversitas_Kueri_Tabel9" sheetId="4" r:id="rId7"/>
    <sheet name="Master_Indeks_Overview" sheetId="5" r:id="rId8"/>
    <sheet name="Panduan_Angka_PlusMinu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<sst xmlns="http://schemas.openxmlformats.org/spreadsheetml/2006/main" uniqueCount="867">
  <si>
    <t>IDENTITAS KUERI &amp; DOKUMEN MEDIS UJI</t>
  </si>
  <si>
    <t>1. EXACT MATCH (BASELINE DETERMINISTIK)</t>
  </si>
  <si>
    <t>2. N-GRAM (BI-GRAM EXPANSION, theta = 0.40)</t>
  </si>
  <si>
    <t>3. LSH (MINHASH k = 3, FILTER tau = 85%)</t>
  </si>
  <si>
    <t>UJI BERPASANGAN</t>
  </si>
  <si>
    <t>No</t>
  </si>
  <si>
    <t>Doc ID</t>
  </si>
  <si>
    <t>Kata Asli</t>
  </si>
  <si>
    <t>Kueri Typo</t>
  </si>
  <si>
    <t>Kategori Typo</t>
  </si>
  <si>
    <t>Diagnosis ICD-10 (Deskripsi)</t>
  </si>
  <si>
    <t>Waktu (ms)</t>
  </si>
  <si>
    <t>Recall (%)</t>
  </si>
  <si>
    <t>Kandidat Server</t>
  </si>
  <si>
    <t>Lolos Filter</t>
  </si>
  <si>
    <t>False Positive</t>
  </si>
  <si>
    <t>Selisih N-Gram - LSH (ms)</t>
  </si>
  <si>
    <t>D04.5</t>
  </si>
  <si>
    <t>carcinoma</t>
  </si>
  <si>
    <t>carcinoa</t>
  </si>
  <si>
    <t>Omission</t>
  </si>
  <si>
    <t>Carcinoma in situ of skin of trunk</t>
  </si>
  <si>
    <t>Y87.0</t>
  </si>
  <si>
    <t>sequelae</t>
  </si>
  <si>
    <t>sequgelae</t>
  </si>
  <si>
    <t>Insertion</t>
  </si>
  <si>
    <t>Sequelae of intentional self-harm</t>
  </si>
  <si>
    <t>V37.0</t>
  </si>
  <si>
    <t>occupant</t>
  </si>
  <si>
    <t>oecupant</t>
  </si>
  <si>
    <t>Substitution</t>
  </si>
  <si>
    <t>Occupant of three-wheeled motor vehicle injured in collision with fixed or stationary object, driver nontraffic accident</t>
  </si>
  <si>
    <t>M77.1</t>
  </si>
  <si>
    <t>lateral</t>
  </si>
  <si>
    <t>laetral</t>
  </si>
  <si>
    <t>Transposition</t>
  </si>
  <si>
    <t>Lateral epicondylitis</t>
  </si>
  <si>
    <t>C91.4</t>
  </si>
  <si>
    <t>leukaemia</t>
  </si>
  <si>
    <t>leukamia</t>
  </si>
  <si>
    <t>Hairy-cell leukaemia</t>
  </si>
  <si>
    <t>P58.5</t>
  </si>
  <si>
    <t>neonatal</t>
  </si>
  <si>
    <t>nceonatal</t>
  </si>
  <si>
    <t>Neonatal jaundice due to swallowed maternal blood</t>
  </si>
  <si>
    <t>E52</t>
  </si>
  <si>
    <t>niacin</t>
  </si>
  <si>
    <t>niecin</t>
  </si>
  <si>
    <t>Niacin deficiency [pellagra]</t>
  </si>
  <si>
    <t>H19.2</t>
  </si>
  <si>
    <t>keratitis</t>
  </si>
  <si>
    <t>keraittis</t>
  </si>
  <si>
    <t>Keratitis and keratoconjunctivitis in other infectious and parasitic diseases classified elsewhere</t>
  </si>
  <si>
    <t>Q82.2</t>
  </si>
  <si>
    <t>mastocytosis</t>
  </si>
  <si>
    <t>mastcytosis</t>
  </si>
  <si>
    <t>Mastocytosis</t>
  </si>
  <si>
    <t>T33.9</t>
  </si>
  <si>
    <t>superficial</t>
  </si>
  <si>
    <t>superfoicial</t>
  </si>
  <si>
    <t>Superficial frostbite of other and unspecified sites</t>
  </si>
  <si>
    <t>M54.6</t>
  </si>
  <si>
    <t>thoracic</t>
  </si>
  <si>
    <t>thorauic</t>
  </si>
  <si>
    <t>Pain in thoracic spine</t>
  </si>
  <si>
    <t>Q54.9</t>
  </si>
  <si>
    <t>hypospadias</t>
  </si>
  <si>
    <t>hpyospadias</t>
  </si>
  <si>
    <t>Hypospadias, unspecified</t>
  </si>
  <si>
    <t>S45.2</t>
  </si>
  <si>
    <t>injury</t>
  </si>
  <si>
    <t>ijury</t>
  </si>
  <si>
    <t>Injury of axillary or brachial vein</t>
  </si>
  <si>
    <t>H04.8</t>
  </si>
  <si>
    <t>disorders</t>
  </si>
  <si>
    <t>dissorders</t>
  </si>
  <si>
    <t>Other disorders of lacrimal system</t>
  </si>
  <si>
    <t>N89.0</t>
  </si>
  <si>
    <t>vaginal</t>
  </si>
  <si>
    <t>vaginfl</t>
  </si>
  <si>
    <t>Mild vaginal dysplasia</t>
  </si>
  <si>
    <t>Z01.2</t>
  </si>
  <si>
    <t>dental</t>
  </si>
  <si>
    <t>detnal</t>
  </si>
  <si>
    <t>Dental examination</t>
  </si>
  <si>
    <t>C95.2</t>
  </si>
  <si>
    <t>subacute</t>
  </si>
  <si>
    <t>subacte</t>
  </si>
  <si>
    <t>Subacute leukaemia of unspecified cell type</t>
  </si>
  <si>
    <t>Q13.2</t>
  </si>
  <si>
    <t>congenital</t>
  </si>
  <si>
    <t>congeniztal</t>
  </si>
  <si>
    <t>Other congenital malformations of iris</t>
  </si>
  <si>
    <t>I07.1</t>
  </si>
  <si>
    <t>tricuspid</t>
  </si>
  <si>
    <t>tricusprd</t>
  </si>
  <si>
    <t>Tricuspid insufficiency</t>
  </si>
  <si>
    <t>A15.2</t>
  </si>
  <si>
    <t>tuberculosis</t>
  </si>
  <si>
    <t>tbuerculosis</t>
  </si>
  <si>
    <t>Tuberculosis of lung, confirmed histologically</t>
  </si>
  <si>
    <t>F79.1</t>
  </si>
  <si>
    <t>unspecified</t>
  </si>
  <si>
    <t>uspecified</t>
  </si>
  <si>
    <t>Unspecified mental retardation, significant impairment of behaviour requiring attention or treatment</t>
  </si>
  <si>
    <t>Y40.9</t>
  </si>
  <si>
    <t>adverse</t>
  </si>
  <si>
    <t>advefrse</t>
  </si>
  <si>
    <t>Adverse effects in the therapeutic use of systemic antibiotic, unspecified</t>
  </si>
  <si>
    <t>F19.0</t>
  </si>
  <si>
    <t>mental</t>
  </si>
  <si>
    <t>megtal</t>
  </si>
  <si>
    <t>Mental and behavioural disorders due to multiple drug use and use of psychoactive substances, acute intoxication</t>
  </si>
  <si>
    <t>S83.4</t>
  </si>
  <si>
    <t>sprain</t>
  </si>
  <si>
    <t>srpain</t>
  </si>
  <si>
    <t>Sprain and strain involving (fibular) (tibial) collateral ligament of knee</t>
  </si>
  <si>
    <t>M02.0</t>
  </si>
  <si>
    <t>arthropathy</t>
  </si>
  <si>
    <t>arthopathy</t>
  </si>
  <si>
    <t>Arthropathy following intestinal bypass</t>
  </si>
  <si>
    <t>D53.1</t>
  </si>
  <si>
    <t>megaloblastic</t>
  </si>
  <si>
    <t>megaloblaostic</t>
  </si>
  <si>
    <t>Other megaloblastic anaemias, not elsewhere classified</t>
  </si>
  <si>
    <t>R86.4</t>
  </si>
  <si>
    <t>abnormal</t>
  </si>
  <si>
    <t>abnorkal</t>
  </si>
  <si>
    <t>Abnormal findings in specimens from male genital organs, abnormal immunological findings</t>
  </si>
  <si>
    <t>C97</t>
  </si>
  <si>
    <t>malignant</t>
  </si>
  <si>
    <t>malingant</t>
  </si>
  <si>
    <t>Malignant neoplasms of independent (primary) multiple sites</t>
  </si>
  <si>
    <t>V83.4</t>
  </si>
  <si>
    <t>person</t>
  </si>
  <si>
    <t>peson</t>
  </si>
  <si>
    <t>Person injured while boarding or alighting from special industrial vehicle</t>
  </si>
  <si>
    <t>H54.1</t>
  </si>
  <si>
    <t>blindness</t>
  </si>
  <si>
    <t>blinddness</t>
  </si>
  <si>
    <t>Blindness, one eye, low vision other eye</t>
  </si>
  <si>
    <t>M88.0</t>
  </si>
  <si>
    <t>pagets</t>
  </si>
  <si>
    <t>pagews</t>
  </si>
  <si>
    <t>Pagets disease of skull</t>
  </si>
  <si>
    <t>Y16</t>
  </si>
  <si>
    <t>poisoning</t>
  </si>
  <si>
    <t>poisoinng</t>
  </si>
  <si>
    <t>Poisoning by and exposure to organic solvents and halogenated hydrocarbons and their vapours, undetermined intent</t>
  </si>
  <si>
    <t>T21.0</t>
  </si>
  <si>
    <t>unspeified</t>
  </si>
  <si>
    <t>Burn of unspecified degree of trunk</t>
  </si>
  <si>
    <t>A54.6</t>
  </si>
  <si>
    <t>gonococcal</t>
  </si>
  <si>
    <t>gronococcal</t>
  </si>
  <si>
    <t>Gonococcal infection of anus and rectum</t>
  </si>
  <si>
    <t>F66.0</t>
  </si>
  <si>
    <t>sexual</t>
  </si>
  <si>
    <t>sexuwl</t>
  </si>
  <si>
    <t>Sexual maturation disorder</t>
  </si>
  <si>
    <t>K41.2</t>
  </si>
  <si>
    <t>bilateral</t>
  </si>
  <si>
    <t>biltaeral</t>
  </si>
  <si>
    <t>Bilateral femoral hernia, without obstruction or gangrene</t>
  </si>
  <si>
    <t>Y28</t>
  </si>
  <si>
    <t>contact</t>
  </si>
  <si>
    <t>contat</t>
  </si>
  <si>
    <t>Contact with sharp object, undetermined intent causing accidental injury</t>
  </si>
  <si>
    <t>L41.2</t>
  </si>
  <si>
    <t>lymphomatoid</t>
  </si>
  <si>
    <t>lytmphomatoid</t>
  </si>
  <si>
    <t>Lymphomatoid papulosis</t>
  </si>
  <si>
    <t>W80</t>
  </si>
  <si>
    <t>inhalation</t>
  </si>
  <si>
    <t>inhalqtion</t>
  </si>
  <si>
    <t>Inhalation and ingestion of other objects causing obstruction of respiratory tract as an external cause of morbidity and mortality</t>
  </si>
  <si>
    <t>K82.9</t>
  </si>
  <si>
    <t>disease</t>
  </si>
  <si>
    <t>disaese</t>
  </si>
  <si>
    <t>Disease of gallbladder, unspecified</t>
  </si>
  <si>
    <t>C19</t>
  </si>
  <si>
    <t>maligant</t>
  </si>
  <si>
    <t>Malignant neoplasm of rectosigmoid junction</t>
  </si>
  <si>
    <t>N99.3</t>
  </si>
  <si>
    <t>prolapse</t>
  </si>
  <si>
    <t>prolafpse</t>
  </si>
  <si>
    <t>Prolapse of vaginal vault after hysterectomy</t>
  </si>
  <si>
    <t>X61</t>
  </si>
  <si>
    <t>intentional</t>
  </si>
  <si>
    <t>ixtentional</t>
  </si>
  <si>
    <t>Intentional self-poisoning by and exposure to antiepileptic, sedative-hypnotic, antiparkinsonism and psychotropic drugs, not elsewhere classified</t>
  </si>
  <si>
    <t>Y59.0</t>
  </si>
  <si>
    <t>advrese</t>
  </si>
  <si>
    <t>Adverse effects in the therapeutic use of viral vaccines</t>
  </si>
  <si>
    <t>V92.6</t>
  </si>
  <si>
    <t>transport</t>
  </si>
  <si>
    <t>transpot</t>
  </si>
  <si>
    <t>Water-transport-related drowning and submersion without accident to watercraft, inflatable craft (nonpowered)</t>
  </si>
  <si>
    <t>N95.2</t>
  </si>
  <si>
    <t>postmenopausal</t>
  </si>
  <si>
    <t>postmenopauskal</t>
  </si>
  <si>
    <t>Postmenopausal atrophic vaginitis</t>
  </si>
  <si>
    <t>B23.2</t>
  </si>
  <si>
    <t>disiase</t>
  </si>
  <si>
    <t>HIV disease resulting in haematological and immunological abnormalities, not elsewhere classified</t>
  </si>
  <si>
    <t>F62.8</t>
  </si>
  <si>
    <t>enduring</t>
  </si>
  <si>
    <t>enduirng</t>
  </si>
  <si>
    <t>Other enduring personality changes</t>
  </si>
  <si>
    <t>T50.1</t>
  </si>
  <si>
    <t>poisning</t>
  </si>
  <si>
    <t>Poisoning by loop [high-ceiling] diuretics</t>
  </si>
  <si>
    <t>F10.0</t>
  </si>
  <si>
    <t>mentcal</t>
  </si>
  <si>
    <t>Mental and behavioural disorders due to use of alcohol, acute intoxication</t>
  </si>
  <si>
    <t>L10.3</t>
  </si>
  <si>
    <t>brazilian</t>
  </si>
  <si>
    <t>brwzilian</t>
  </si>
  <si>
    <t>Brazilian pemphigus [fogo selvagem]</t>
  </si>
  <si>
    <t>B18.0</t>
  </si>
  <si>
    <t>chronic</t>
  </si>
  <si>
    <t>chronci</t>
  </si>
  <si>
    <t>Chronic viral hepatitis B with delta-agent</t>
  </si>
  <si>
    <t>Z59.3</t>
  </si>
  <si>
    <t>problems</t>
  </si>
  <si>
    <t>probems</t>
  </si>
  <si>
    <t>Problems related to living in residential institution</t>
  </si>
  <si>
    <t>Z45.1</t>
  </si>
  <si>
    <t>adjustment</t>
  </si>
  <si>
    <t>adjgustment</t>
  </si>
  <si>
    <t>Adjustment and management of infusion pump</t>
  </si>
  <si>
    <t>S08.0</t>
  </si>
  <si>
    <t>avulsion</t>
  </si>
  <si>
    <t>avulaion</t>
  </si>
  <si>
    <t>Avulsion of scalp</t>
  </si>
  <si>
    <t>T22.3</t>
  </si>
  <si>
    <t>degree</t>
  </si>
  <si>
    <t>dgeree</t>
  </si>
  <si>
    <t>Burn of third degree of shoulder and upper limb, except wrist and hand</t>
  </si>
  <si>
    <t>E50.3</t>
  </si>
  <si>
    <t>vitamin</t>
  </si>
  <si>
    <t>viamin</t>
  </si>
  <si>
    <t>Vitamin A deficiency with corneal ulceration and xerosis</t>
  </si>
  <si>
    <t>N84.9</t>
  </si>
  <si>
    <t>female</t>
  </si>
  <si>
    <t>feomale</t>
  </si>
  <si>
    <t>Polyp of female genital tract, unspecified</t>
  </si>
  <si>
    <t>R83.4</t>
  </si>
  <si>
    <t>agnormal</t>
  </si>
  <si>
    <t>Abnormal findings in cerebrospinal fluid, abnormal immunological findings</t>
  </si>
  <si>
    <t>R89.5</t>
  </si>
  <si>
    <t>abonrmal</t>
  </si>
  <si>
    <t>Abnormal findings in specimens from other organs, abnormal microbiological findings</t>
  </si>
  <si>
    <t>Q04.4</t>
  </si>
  <si>
    <t>dysplasia</t>
  </si>
  <si>
    <t>dysplasa</t>
  </si>
  <si>
    <t>Septo-optic dysplasia</t>
  </si>
  <si>
    <t>B95.1</t>
  </si>
  <si>
    <t>streptococcus</t>
  </si>
  <si>
    <t>streptocolccus</t>
  </si>
  <si>
    <t>Streptococcus, group B, as the cause of diseases classified to other chapters</t>
  </si>
  <si>
    <t>K90.3</t>
  </si>
  <si>
    <t>pancreatic</t>
  </si>
  <si>
    <t>pancryatic</t>
  </si>
  <si>
    <t>Pancreatic steatorrhoea</t>
  </si>
  <si>
    <t>M94.0</t>
  </si>
  <si>
    <t>chondrocostal</t>
  </si>
  <si>
    <t>cohndrocostal</t>
  </si>
  <si>
    <t>Chondrocostal junction syndrome [Tietze]</t>
  </si>
  <si>
    <t>H34.0</t>
  </si>
  <si>
    <t>transient</t>
  </si>
  <si>
    <t>tranient</t>
  </si>
  <si>
    <t>Transient retinal artery occlusion</t>
  </si>
  <si>
    <t>P23.5</t>
  </si>
  <si>
    <t>caongenital</t>
  </si>
  <si>
    <t>Congenital pneumonia due to Pseudomonas</t>
  </si>
  <si>
    <t>Z38.1</t>
  </si>
  <si>
    <t>singleton</t>
  </si>
  <si>
    <t>singletdn</t>
  </si>
  <si>
    <t>Singleton, born outside hospital</t>
  </si>
  <si>
    <t>V31.3</t>
  </si>
  <si>
    <t>occupatn</t>
  </si>
  <si>
    <t>Occupant of three-wheeled motor vehicle injured in collision with pedal cycle, unspecified occupant of three-wheeled motor vehicle, nontraffic accident</t>
  </si>
  <si>
    <t>L95.8</t>
  </si>
  <si>
    <t>vasculitis</t>
  </si>
  <si>
    <t>vascuitis</t>
  </si>
  <si>
    <t>Other vasculitis limited to skin</t>
  </si>
  <si>
    <t>N50.8</t>
  </si>
  <si>
    <t>specified</t>
  </si>
  <si>
    <t>speciflied</t>
  </si>
  <si>
    <t>Other specified disorders of male genital organs</t>
  </si>
  <si>
    <t>G99.2</t>
  </si>
  <si>
    <t>myelopathy</t>
  </si>
  <si>
    <t>myelopatly</t>
  </si>
  <si>
    <t>Myelopathy in diseases classified elsewhere</t>
  </si>
  <si>
    <t>R50.0</t>
  </si>
  <si>
    <t>chills</t>
  </si>
  <si>
    <t>cihlls</t>
  </si>
  <si>
    <t>Fever with chills</t>
  </si>
  <si>
    <t>R78.8</t>
  </si>
  <si>
    <t>finding</t>
  </si>
  <si>
    <t>fiding</t>
  </si>
  <si>
    <t>Finding of other specified substances, not normally found in blood</t>
  </si>
  <si>
    <t>I34.9</t>
  </si>
  <si>
    <t>nonrheumatic</t>
  </si>
  <si>
    <t>nonrheuhmatic</t>
  </si>
  <si>
    <t>Nonrheumatic mitral valve disorder, unspecified</t>
  </si>
  <si>
    <t>V12.3</t>
  </si>
  <si>
    <t>cyclist</t>
  </si>
  <si>
    <t>cytlist</t>
  </si>
  <si>
    <t>Pedal cyclist injured in collision with two- or three-wheeled motor vehicle, while boarding or alighting</t>
  </si>
  <si>
    <t>L44.0</t>
  </si>
  <si>
    <t>pityriasis</t>
  </si>
  <si>
    <t>pityriaiss</t>
  </si>
  <si>
    <t>Pityriasis rubra pilaris</t>
  </si>
  <si>
    <t>Z63.1</t>
  </si>
  <si>
    <t>poblems</t>
  </si>
  <si>
    <t>Problems in relationship with parents and in-laws</t>
  </si>
  <si>
    <t>T27.1</t>
  </si>
  <si>
    <t>involving</t>
  </si>
  <si>
    <t>involviqng</t>
  </si>
  <si>
    <t>Burn involving larynx and trachea with lung</t>
  </si>
  <si>
    <t>K25.3</t>
  </si>
  <si>
    <t>gastric</t>
  </si>
  <si>
    <t>gastrlc</t>
  </si>
  <si>
    <t>Gastric ulcer, acute without haemorrhage or perforation</t>
  </si>
  <si>
    <t>S42.2</t>
  </si>
  <si>
    <t>fracture</t>
  </si>
  <si>
    <t>fratcure</t>
  </si>
  <si>
    <t>Fracture of upper end of humerus</t>
  </si>
  <si>
    <t>D05.9</t>
  </si>
  <si>
    <t>cacinoma</t>
  </si>
  <si>
    <t>Carcinoma in situ of breast, unspecified</t>
  </si>
  <si>
    <t>M00.0</t>
  </si>
  <si>
    <t>staphylococcal</t>
  </si>
  <si>
    <t>stapwhylococcal</t>
  </si>
  <si>
    <t>Staphylococcal arthritis and polyarthritis</t>
  </si>
  <si>
    <t>Z13.2</t>
  </si>
  <si>
    <t>special</t>
  </si>
  <si>
    <t>spmcial</t>
  </si>
  <si>
    <t>Special screening examination for nutritional disorders</t>
  </si>
  <si>
    <t>J00</t>
  </si>
  <si>
    <t>nasopharyngitis</t>
  </si>
  <si>
    <t>nasopharyngtiis</t>
  </si>
  <si>
    <t>Acute nasopharyngitis [common cold]</t>
  </si>
  <si>
    <t>R54</t>
  </si>
  <si>
    <t>senility</t>
  </si>
  <si>
    <t>seniity</t>
  </si>
  <si>
    <t>Senility</t>
  </si>
  <si>
    <t>T50.7</t>
  </si>
  <si>
    <t>poiisoning</t>
  </si>
  <si>
    <t>Poisoning by analeptics and opioid receptor antagonists</t>
  </si>
  <si>
    <t>Q66.0</t>
  </si>
  <si>
    <t>talipes</t>
  </si>
  <si>
    <t>taliwes</t>
  </si>
  <si>
    <t>Talipes equinovarus</t>
  </si>
  <si>
    <t>T88.3</t>
  </si>
  <si>
    <t>mailgnant</t>
  </si>
  <si>
    <t>Malignant hyperthermia due to anaesthesia</t>
  </si>
  <si>
    <t>S11.7</t>
  </si>
  <si>
    <t>multiple</t>
  </si>
  <si>
    <t>muliple</t>
  </si>
  <si>
    <t>Multiple open wounds of neck</t>
  </si>
  <si>
    <t>G21.8</t>
  </si>
  <si>
    <t>secondary</t>
  </si>
  <si>
    <t>seconcdary</t>
  </si>
  <si>
    <t>Other secondary parkinsonism</t>
  </si>
  <si>
    <t>Z52.5</t>
  </si>
  <si>
    <t>cornea</t>
  </si>
  <si>
    <t>cownea</t>
  </si>
  <si>
    <t>Cornea donor</t>
  </si>
  <si>
    <t>V42.4</t>
  </si>
  <si>
    <t>occpuant</t>
  </si>
  <si>
    <t>Car occupant injured in collision with two- or three-wheeled motor vehicle, while boarding or alighting</t>
  </si>
  <si>
    <t>T41.1</t>
  </si>
  <si>
    <t>posoning</t>
  </si>
  <si>
    <t>Poisoning by intravenous anaesthetics</t>
  </si>
  <si>
    <t>O84.8</t>
  </si>
  <si>
    <t>muldtiple</t>
  </si>
  <si>
    <t>Other multiple delivery</t>
  </si>
  <si>
    <t>Z31.1</t>
  </si>
  <si>
    <t>artificial</t>
  </si>
  <si>
    <t>abtificial</t>
  </si>
  <si>
    <t>Artificial insemination</t>
  </si>
  <si>
    <t>T17.9</t>
  </si>
  <si>
    <t>foreign</t>
  </si>
  <si>
    <t>foreing</t>
  </si>
  <si>
    <t>Foreign body in respiratory tract, part unspecified</t>
  </si>
  <si>
    <t>M96.4</t>
  </si>
  <si>
    <t>postsurgical</t>
  </si>
  <si>
    <t>posturgical</t>
  </si>
  <si>
    <t>Postsurgical lordosis</t>
  </si>
  <si>
    <t>R68.1</t>
  </si>
  <si>
    <t>nonspecific</t>
  </si>
  <si>
    <t>nodnspecific</t>
  </si>
  <si>
    <t>Nonspecific symptoms peculiar to infancy</t>
  </si>
  <si>
    <t>V78.0</t>
  </si>
  <si>
    <t>occupsnt</t>
  </si>
  <si>
    <t>Bus occupant injured in noncollision transport accident, driver, nontraffic accident</t>
  </si>
  <si>
    <t>N03.0</t>
  </si>
  <si>
    <t>chrnoic</t>
  </si>
  <si>
    <t>Chronic nephritic syndrome, minor glomerular abnormality</t>
  </si>
  <si>
    <t>TABLE 7. PARAMETER STATISTIK &amp; UJI HIPOTESIS LATENSI KOMPUTASI (PAIRED T-TEST, n = 100)</t>
  </si>
  <si>
    <t>Parameter Statistik (Latensi Komputasi)</t>
  </si>
  <si>
    <t>Exact Match (ms)</t>
  </si>
  <si>
    <t>N-Gram (ms)</t>
  </si>
  <si>
    <t>LSH MinHash (ms)</t>
  </si>
  <si>
    <t>Keterangan Rumus / Penjelasan Matematis</t>
  </si>
  <si>
    <t>Mean (Rata-rata Latensi μ)</t>
  </si>
  <si>
    <t>Rata-rata aritmatika total latensi round-trip 100 kueri</t>
  </si>
  <si>
    <t>Standar Deviasi Sampel (s)</t>
  </si>
  <si>
    <t>Deviasi standar sampel (rumus STDEV.S Excel)</t>
  </si>
  <si>
    <t>Varians Sampel (s²)</t>
  </si>
  <si>
    <t>Variansi sampel (kuadrat deviasi standar)</t>
  </si>
  <si>
    <t>Jumlah Observasi (N)</t>
  </si>
  <si>
    <t>Total kueri uji klinis berpasangan (paired)</t>
  </si>
  <si>
    <t>Margin of Error (95% CI) = nilai ± di Table 8</t>
  </si>
  <si>
    <t>t_crit * (s / √n); t_crit = T.INV.2T(0.05; n-1) dibulatkan 3 desimal = 1.984 (df = 99, α = 0.05), sama dengan t_crit yang tercetak di Table 7</t>
  </si>
  <si>
    <t>95% CI Lower Bound</t>
  </si>
  <si>
    <t>Batas bawah interval kepercayaan 95% (Mean - Margin of Error)</t>
  </si>
  <si>
    <t>95% CI Upper Bound</t>
  </si>
  <si>
    <t>Batas atas interval kepercayaan 95% (Mean + Margin of Error)</t>
  </si>
  <si>
    <t>Mean Difference (D̄ = μ_Ngram - μ_LSH)</t>
  </si>
  <si>
    <t>Selisih penghematan rata-rata latensi LSH terhadap N-Gram</t>
  </si>
  <si>
    <t>Pearson Correlation (r)</t>
  </si>
  <si>
    <t>Korelasi linier kueri berpasangan N-Gram dan LSH</t>
  </si>
  <si>
    <t>Degrees of Freedom (df = N - 1)</t>
  </si>
  <si>
    <t>Derajat kebebasan pengujian berpasangan (paired degrees of freedom)</t>
  </si>
  <si>
    <t>t-statistic (t_calc)</t>
  </si>
  <si>
    <t>t = rata-rata selisih / (SD selisih / √n), dihitung dari kolom V (bukan angka ketikan)</t>
  </si>
  <si>
    <t>P-Value (Two-Tailed)</t>
  </si>
  <si>
    <t>Uji t berpasangan dua arah (T.TEST tipe 1 paired, tail 2)</t>
  </si>
  <si>
    <t>Keputusan Statistik (alpha = 0.05)</t>
  </si>
  <si>
    <t>Reject H0 (p &lt; 0.001)</t>
  </si>
  <si>
    <t>Keunggulan latensi LSH terbukti signifikan secara statistik</t>
  </si>
  <si>
    <t>t kritis (two-tailed, α = 0.05)</t>
  </si>
  <si>
    <t>Nilai t_crit di Table 7 naskah (1.984)</t>
  </si>
  <si>
    <t>Teks Table 8 naskah: Latensi (Mean ± Margin of Error 95%)</t>
  </si>
  <si>
    <t>Angka sesudah ± di Table 8 adalah MARGIN OF ERROR CI 95% (= t_crit·s/√n), bukan standar deviasi. Contoh LSH: 1.984 × 125.09 / √100 = 24.82</t>
  </si>
  <si>
    <t>Pembanding: Mean ± Standar Deviasi (s)</t>
  </si>
  <si>
    <t>Bukan format yang dipakai di Table 8; ditampilkan agar perbedaan SD vs margin of error jelas (SD ada di Table 7)</t>
  </si>
  <si>
    <t>Kontrol kualitas: jumlah latensi negatif</t>
  </si>
  <si>
    <t>Latensi tidak mungkin negatif. Nilai negatif (sel merah) berasal dari timer microtime() yang mundur saat run; dibiarkan apa adanya, bukan diedit</t>
  </si>
  <si>
    <t>TABLE 8 &amp; FIGURE 7. RINGKASAN METRIK KLASIFIKASI &amp; RETRIEVAL PASCA CLIENT FILTERING (tau = 85%)</t>
  </si>
  <si>
    <t>Metrik Evaluasi &amp; Deskripsi</t>
  </si>
  <si>
    <t>Exact Match</t>
  </si>
  <si>
    <t>N-Gram (theta = 0.40)</t>
  </si>
  <si>
    <t>LSH MinHash (k = 3)</t>
  </si>
  <si>
    <t>Keterangan Rumus / Penjelasan Sumber Data</t>
  </si>
  <si>
    <t>True Positives (TP) [Target Ditemukan]</t>
  </si>
  <si>
    <t>Jumlah kueri di mana dokumen target berhasil ditemukan (Recall = 100%)</t>
  </si>
  <si>
    <t>False Negatives (FN) [Target Terlewat]</t>
  </si>
  <si>
    <t>Jumlah kueri di mana dokumen target gagal ditemukan (Recall = 0%)</t>
  </si>
  <si>
    <t>Total False Positives (FP) [Akumulasi Lolos Klien]</t>
  </si>
  <si>
    <t>Akumulasi total dokumen bukan-target yang tidak sengaja lolos penyaringan klien</t>
  </si>
  <si>
    <t>Search Recall (%)</t>
  </si>
  <si>
    <t>Rumus: TP / (TP + FN) * 100% atau rata-rata kolom Recall 100 kueri</t>
  </si>
  <si>
    <t>Precision (%)</t>
  </si>
  <si>
    <t>Rumus: TP / (TP + FP) * 100% (persentase target dari seluruh dokumen lolos klien)</t>
  </si>
  <si>
    <t>F1-Score (%)</t>
  </si>
  <si>
    <t>Harmonic Mean: 2 * (Precision * Recall) / (Precision + Recall)</t>
  </si>
  <si>
    <t>False Positive Rate (FPR) (%)</t>
  </si>
  <si>
    <t>FP / (FP + TN) * 100%. Tiap kueri punya 1 target; 10.468 record lain = negatif, jadi FP + TN = 100 kueri x 10.468 = 1.046.800 (perbaikan 2026-10-18; versi lama membagi FP dengan 1.000)</t>
  </si>
  <si>
    <t>Rata-rata Kandidat Cloud Server (Pre-Filter, Fig. 7)</t>
  </si>
  <si>
    <t>Rata-rata jumlah dokumen ciphertext yang ditarik dari Cloud Server per kueri</t>
  </si>
  <si>
    <t>Rata-rata Dokumen Lolos Klien (Post-Filter, Fig. 7)</t>
  </si>
  <si>
    <t>Rata-rata jumlah dokumen yang lolos verifikasi kesamaan string (tau = 85%)</t>
  </si>
  <si>
    <t>Candidate Pruning Rate (%)</t>
  </si>
  <si>
    <t>Efisiensi pemangkasan false positive di sisi klien: (Pre - Post) / Pre * 100%</t>
  </si>
  <si>
    <t>FIGURE 8. ANALISIS SENSITIVITAS MULTI-PARAMETER ALGORITMA (k, tau, theta)</t>
  </si>
  <si>
    <t>1. PENGARUH DIMENSI MINHASH (k) TERHADAP RECALL, LATENSI, DAN KANDIDAT (tau = 85%) [Fig. 8a]</t>
  </si>
  <si>
    <t>k (Bands)</t>
  </si>
  <si>
    <t>Rata-rata Latensi (ms)</t>
  </si>
  <si>
    <t>Standar Deviasi (ms)</t>
  </si>
  <si>
    <t>Rata-rata Kandidat Server</t>
  </si>
  <si>
    <t>2. PENGARUH AMBANG BATAS KESAMAAN KLIEN (tau) TERHADAP RECALL DAN PRECISION (k = 3) [Fig. 8b]</t>
  </si>
  <si>
    <t>Ambang Batas tau (%)</t>
  </si>
  <si>
    <t>Keterangan Analitis</t>
  </si>
  <si>
    <t>70%</t>
  </si>
  <si>
    <t>Recall sangat tinggi, namun meloloskan banyak noise kandidat non-target</t>
  </si>
  <si>
    <t>75%</t>
  </si>
  <si>
    <t>Penyaringan false positive mulai membaik, recall tetap terjaga tinggi</t>
  </si>
  <si>
    <t>80%</t>
  </si>
  <si>
    <t>Zona transisi toleransi kesalahan klinis yang stabil</t>
  </si>
  <si>
    <t>85%</t>
  </si>
  <si>
    <t>Titik kompromi optimal (Recommended): Recall 88% dengan 96% false positive dipangkas</t>
  </si>
  <si>
    <t>90%</t>
  </si>
  <si>
    <t>Threshold terlalu ketat: Recall anjlok karena banyak typo klinis ditolak filter</t>
  </si>
  <si>
    <t>95%</t>
  </si>
  <si>
    <t>Kegagalan toleransi typo: Hanya kueri yang hampir identik yang diloloskan filter klien</t>
  </si>
  <si>
    <t>3. PENGARUH HIT-RATIO N-GRAM (theta) TERHADAP KANDIDAT CLOUD DAN LATENSI</t>
  </si>
  <si>
    <t>Ambang Batas theta</t>
  </si>
  <si>
    <t>FIGURE 9 (SECTION 3.5). ANALYTICAL SCALABILITY PROJECTION CALIBRATED ON OBSERVED ICD-10 DENSITY</t>
  </si>
  <si>
    <t>Kalibrasi Densitas Dasar (10.469 Dokumen): Exact = 10.51 baris/doc, N-Gram = 83.99 baris/doc, LSH k=3 = 31.55 baris/doc, LSH k=5 = 52.58 baris/doc (128 bytes/row)</t>
  </si>
  <si>
    <t>Jumlah Rekam Medis (Dokumen N)</t>
  </si>
  <si>
    <t>Baris Indeks Exact</t>
  </si>
  <si>
    <t>Storage Exact (MB)</t>
  </si>
  <si>
    <t>Baris Indeks N-Gram</t>
  </si>
  <si>
    <t>Storage N-Gram (MB)</t>
  </si>
  <si>
    <t>Baris Indeks LSH (k=3)</t>
  </si>
  <si>
    <t>Storage LSH k=3 (MB)</t>
  </si>
  <si>
    <t>Baris Indeks LSH (k=5)</t>
  </si>
  <si>
    <t>Storage LSH k=5 (MB)</t>
  </si>
  <si>
    <t>Efisiensi Storage LSH vs N-Gram (%)</t>
  </si>
  <si>
    <t>TABLE 9 (SECTION 3.4). EVALUASI DIVERSITAS KUERI KLINIS &amp; STRATIFIKASI LINGUISTIK/KESALAHAN</t>
  </si>
  <si>
    <t>RINGKASAN STRATIFIKASI BERDASARKAN 5 DIMENSI DIVERSITAS KUERI (FORMULA NATIVE DARI DATA DI BAWAH)</t>
  </si>
  <si>
    <t>Dimensi Diversitas Kueri</t>
  </si>
  <si>
    <t>Jumlah Sampel (n)</t>
  </si>
  <si>
    <t>Recall Exact (%)</t>
  </si>
  <si>
    <t>Recall N-Gram (%)</t>
  </si>
  <si>
    <t>Recall LSH (%)</t>
  </si>
  <si>
    <t>Latensi N-Gram (ms)</t>
  </si>
  <si>
    <t>Latensi LSH (ms)</t>
  </si>
  <si>
    <t>Efisiensi Latensi LSH (%)</t>
  </si>
  <si>
    <t>SD N-Gram (ms)</t>
  </si>
  <si>
    <t>SD LSH (ms)</t>
  </si>
  <si>
    <t>Teks Table 9: N-Gram (Mean ± SD)</t>
  </si>
  <si>
    <t>Teks Table 9: LSH (Mean ± SD)</t>
  </si>
  <si>
    <t>Paired t</t>
  </si>
  <si>
    <t>df</t>
  </si>
  <si>
    <t>Short Terms (4-6 chars)</t>
  </si>
  <si>
    <t>Medium Terms (7-10 chars)</t>
  </si>
  <si>
    <t>Long Polysyllabic (&gt;=11 chars)</t>
  </si>
  <si>
    <t>Compound Typo (Edit Distance d=2)</t>
  </si>
  <si>
    <t>Phonetic/Orthographic Shifts</t>
  </si>
  <si>
    <t>Pooled (n = 100)</t>
  </si>
  <si>
    <t>Catatan: angka sesudah ± di Table 9 adalah STANDAR DEVIASI sampel (STDEV.S), berbeda dengan Table 8 yang memakai margin of error CI 95%. Paired t = rata-rata selisih kolom N / (SD selisih / √n).</t>
  </si>
  <si>
    <t>DATA MENTAH 100 SAMPEL PENGUJIAN DIVERSE (PER-QUERY DETAIL DENGAN 5 STRATA)</t>
  </si>
  <si>
    <t>Dimensi Diversitas</t>
  </si>
  <si>
    <t>Panjang</t>
  </si>
  <si>
    <t>Diagnosis Penyakit</t>
  </si>
  <si>
    <t>Waktu Exact (ms)</t>
  </si>
  <si>
    <t>Recall Exact</t>
  </si>
  <si>
    <t>Waktu N-Gram (ms)</t>
  </si>
  <si>
    <t>Recall N-Gram</t>
  </si>
  <si>
    <t>Waktu LSH (ms)</t>
  </si>
  <si>
    <t>Recall LSH</t>
  </si>
  <si>
    <t>S82.3</t>
  </si>
  <si>
    <t>lower</t>
  </si>
  <si>
    <t>loer</t>
  </si>
  <si>
    <t>Fracture of lower end of tibia</t>
  </si>
  <si>
    <t>tibia</t>
  </si>
  <si>
    <t>tibqa</t>
  </si>
  <si>
    <t>ujung</t>
  </si>
  <si>
    <t>ujng</t>
  </si>
  <si>
    <t>bawah</t>
  </si>
  <si>
    <t>baah</t>
  </si>
  <si>
    <t>B40.9</t>
  </si>
  <si>
    <t>tidak</t>
  </si>
  <si>
    <t>tidk</t>
  </si>
  <si>
    <t>Blastomycosis, unspecified</t>
  </si>
  <si>
    <t>T95.2</t>
  </si>
  <si>
    <t>burn</t>
  </si>
  <si>
    <t>bun</t>
  </si>
  <si>
    <t>Sequelae of burn, corrosion and frostbite of upper limb</t>
  </si>
  <si>
    <t>upper</t>
  </si>
  <si>
    <t>uper</t>
  </si>
  <si>
    <t>limb</t>
  </si>
  <si>
    <t>lib</t>
  </si>
  <si>
    <t>gejala</t>
  </si>
  <si>
    <t>gejlaa</t>
  </si>
  <si>
    <t>sisa</t>
  </si>
  <si>
    <t>ssa</t>
  </si>
  <si>
    <t>luka</t>
  </si>
  <si>
    <t>lkua</t>
  </si>
  <si>
    <t>bakar</t>
  </si>
  <si>
    <t>baakr</t>
  </si>
  <si>
    <t>korosi</t>
  </si>
  <si>
    <t>krosi</t>
  </si>
  <si>
    <t>radang</t>
  </si>
  <si>
    <t>rddang</t>
  </si>
  <si>
    <t>dingin</t>
  </si>
  <si>
    <t>dmingin</t>
  </si>
  <si>
    <t>dari</t>
  </si>
  <si>
    <t>dai</t>
  </si>
  <si>
    <t>atas</t>
  </si>
  <si>
    <t>atyas</t>
  </si>
  <si>
    <t>Q50.4</t>
  </si>
  <si>
    <t>cyst</t>
  </si>
  <si>
    <t>cyt</t>
  </si>
  <si>
    <t>Embryonic cyst of fallopian tube</t>
  </si>
  <si>
    <t>tube</t>
  </si>
  <si>
    <t>tbe</t>
  </si>
  <si>
    <t>kista</t>
  </si>
  <si>
    <t>kisat</t>
  </si>
  <si>
    <t>fractue</t>
  </si>
  <si>
    <t>fraktur</t>
  </si>
  <si>
    <t>frkatur</t>
  </si>
  <si>
    <t>spesifik</t>
  </si>
  <si>
    <t>spmsifik</t>
  </si>
  <si>
    <t>ssequelae</t>
  </si>
  <si>
    <t>corrosion</t>
  </si>
  <si>
    <t>corroion</t>
  </si>
  <si>
    <t>frostbite</t>
  </si>
  <si>
    <t>fgrostbite</t>
  </si>
  <si>
    <t>embryonic</t>
  </si>
  <si>
    <t>embryonc</t>
  </si>
  <si>
    <t>fallopian</t>
  </si>
  <si>
    <t>fallpian</t>
  </si>
  <si>
    <t>fallopi</t>
  </si>
  <si>
    <t>fkllopi</t>
  </si>
  <si>
    <t>O14.1</t>
  </si>
  <si>
    <t>eclampsia</t>
  </si>
  <si>
    <t>eclampstia</t>
  </si>
  <si>
    <t>Severe pre-eclampsia</t>
  </si>
  <si>
    <t>eklampsia</t>
  </si>
  <si>
    <t>elampsia</t>
  </si>
  <si>
    <t>Q05.1</t>
  </si>
  <si>
    <t>tcoracic</t>
  </si>
  <si>
    <t>Thoracic spina bifida with hydrocephalus</t>
  </si>
  <si>
    <t>V11.0</t>
  </si>
  <si>
    <t>cylcist</t>
  </si>
  <si>
    <t>Pedal cyclist injured in collision with other pedal cycle, driver, nontraffic accident</t>
  </si>
  <si>
    <t>injured</t>
  </si>
  <si>
    <t>inbured</t>
  </si>
  <si>
    <t>nontraffic</t>
  </si>
  <si>
    <t>nonrtaffic</t>
  </si>
  <si>
    <t>accident</t>
  </si>
  <si>
    <t>accideant</t>
  </si>
  <si>
    <t>terluka</t>
  </si>
  <si>
    <t>teluka</t>
  </si>
  <si>
    <t>tabrakan</t>
  </si>
  <si>
    <t>tasbrakan</t>
  </si>
  <si>
    <t>kecelakaan</t>
  </si>
  <si>
    <t>kecelaakan</t>
  </si>
  <si>
    <t>R44.1</t>
  </si>
  <si>
    <t>halusinasi</t>
  </si>
  <si>
    <t>halusniasi</t>
  </si>
  <si>
    <t>Visual hallucinations</t>
  </si>
  <si>
    <t>blastomycosis</t>
  </si>
  <si>
    <t>bmastomycosis</t>
  </si>
  <si>
    <t>usnpecified</t>
  </si>
  <si>
    <t>ekstremitas</t>
  </si>
  <si>
    <t>ekstemitas</t>
  </si>
  <si>
    <t>hydrocephalus</t>
  </si>
  <si>
    <t>hydocephalus</t>
  </si>
  <si>
    <t>hidrosefalus</t>
  </si>
  <si>
    <t>hidrovsefalus</t>
  </si>
  <si>
    <t>hallucinations</t>
  </si>
  <si>
    <t>halucinations</t>
  </si>
  <si>
    <t>S31.5</t>
  </si>
  <si>
    <t>Open wound of other and unspecified external genital organs</t>
  </si>
  <si>
    <t>R83.2</t>
  </si>
  <si>
    <t>cerebrospinal</t>
  </si>
  <si>
    <t>cerebrospianal</t>
  </si>
  <si>
    <t>Abnormal findings in cerebrospinal fluid, abnormal level of other drugs, medicaments and biological substances</t>
  </si>
  <si>
    <t>medicaments</t>
  </si>
  <si>
    <t>mediaments</t>
  </si>
  <si>
    <t>serebrospinal</t>
  </si>
  <si>
    <t>sehrebrospinal</t>
  </si>
  <si>
    <t>K52.9</t>
  </si>
  <si>
    <t>noninfective</t>
  </si>
  <si>
    <t>noinfective</t>
  </si>
  <si>
    <t>Noninfective gastroenteritis and colitis, unspecified</t>
  </si>
  <si>
    <t>gastroenteritis</t>
  </si>
  <si>
    <t>gastroentebitis</t>
  </si>
  <si>
    <t>unpsecified</t>
  </si>
  <si>
    <t>Q71.5</t>
  </si>
  <si>
    <t>longitudinal</t>
  </si>
  <si>
    <t>longitudinvl</t>
  </si>
  <si>
    <t>Longitudinal reduction defect of ulna</t>
  </si>
  <si>
    <t>pengurangan</t>
  </si>
  <si>
    <t>penguraungan</t>
  </si>
  <si>
    <t>M45</t>
  </si>
  <si>
    <t>spondylitis</t>
  </si>
  <si>
    <t>sopndylitis</t>
  </si>
  <si>
    <t>Ankylosing spondylitis</t>
  </si>
  <si>
    <t>A80.3</t>
  </si>
  <si>
    <t>poliomyelitis</t>
  </si>
  <si>
    <t>poliomyrlitis</t>
  </si>
  <si>
    <t>Acute paralytic poliomyelitis, other and unspecified</t>
  </si>
  <si>
    <t>E74.2</t>
  </si>
  <si>
    <t>metabolisme</t>
  </si>
  <si>
    <t>mteabolisme</t>
  </si>
  <si>
    <t>Disorders of galactose metabolism</t>
  </si>
  <si>
    <t>N07.0</t>
  </si>
  <si>
    <t>nephropathy</t>
  </si>
  <si>
    <t>nephrozpathy</t>
  </si>
  <si>
    <t>Hereditary nephropathy, not elsewhere classified, minor glomerular abnormality</t>
  </si>
  <si>
    <t>embrio</t>
  </si>
  <si>
    <t>emiro</t>
  </si>
  <si>
    <t>severe</t>
  </si>
  <si>
    <t>seere</t>
  </si>
  <si>
    <t>bifida</t>
  </si>
  <si>
    <t>bidia</t>
  </si>
  <si>
    <t>dengan</t>
  </si>
  <si>
    <t>deghnan</t>
  </si>
  <si>
    <t>collision</t>
  </si>
  <si>
    <t>colliiuon</t>
  </si>
  <si>
    <t>driver</t>
  </si>
  <si>
    <t>dciler</t>
  </si>
  <si>
    <t>sepeda</t>
  </si>
  <si>
    <t>seeda</t>
  </si>
  <si>
    <t>dngean</t>
  </si>
  <si>
    <t>siklus</t>
  </si>
  <si>
    <t>sikzks</t>
  </si>
  <si>
    <t>visual</t>
  </si>
  <si>
    <t>viujl</t>
  </si>
  <si>
    <t>external</t>
  </si>
  <si>
    <t>externl</t>
  </si>
  <si>
    <t>genital</t>
  </si>
  <si>
    <t>genqatl</t>
  </si>
  <si>
    <t>organs</t>
  </si>
  <si>
    <t>orawns</t>
  </si>
  <si>
    <t>terbuka</t>
  </si>
  <si>
    <t>terbuk</t>
  </si>
  <si>
    <t>eksternal</t>
  </si>
  <si>
    <t>ekteranl</t>
  </si>
  <si>
    <t>lainnya</t>
  </si>
  <si>
    <t>lainryna</t>
  </si>
  <si>
    <t>spbsifik</t>
  </si>
  <si>
    <t>abnroaml</t>
  </si>
  <si>
    <t>findings</t>
  </si>
  <si>
    <t>findnis</t>
  </si>
  <si>
    <t>biological</t>
  </si>
  <si>
    <t>biologiiacl</t>
  </si>
  <si>
    <t>parah</t>
  </si>
  <si>
    <t>parjh</t>
  </si>
  <si>
    <t>spina</t>
  </si>
  <si>
    <t>spona</t>
  </si>
  <si>
    <t>pedal</t>
  </si>
  <si>
    <t>pednl</t>
  </si>
  <si>
    <t>other</t>
  </si>
  <si>
    <t>oter</t>
  </si>
  <si>
    <t>cycle</t>
  </si>
  <si>
    <t>kycle</t>
  </si>
  <si>
    <t>dalam</t>
  </si>
  <si>
    <t>dulam</t>
  </si>
  <si>
    <t>wound</t>
  </si>
  <si>
    <t>wdund</t>
  </si>
  <si>
    <t>organ</t>
  </si>
  <si>
    <t>orlan</t>
  </si>
  <si>
    <t>tidac</t>
  </si>
  <si>
    <t>fluid</t>
  </si>
  <si>
    <t>phluid</t>
  </si>
  <si>
    <t>level</t>
  </si>
  <si>
    <t>levnl</t>
  </si>
  <si>
    <t>drugs</t>
  </si>
  <si>
    <t>drngs</t>
  </si>
  <si>
    <t>substances</t>
  </si>
  <si>
    <t>substankes</t>
  </si>
  <si>
    <t>temuan</t>
  </si>
  <si>
    <t>temunn</t>
  </si>
  <si>
    <t>dafam</t>
  </si>
  <si>
    <t>cairan</t>
  </si>
  <si>
    <t>kairan</t>
  </si>
  <si>
    <t>tingkat</t>
  </si>
  <si>
    <t>tingcat</t>
  </si>
  <si>
    <t>obatan</t>
  </si>
  <si>
    <t>obagan</t>
  </si>
  <si>
    <t>TABLE 6 &amp; FIGURE 5. MASTER INVERTED INDEX STORAGE OVERHEAD AFTER FULL ICD-10 CORPUS INGESTION</t>
  </si>
  <si>
    <t>Dataset Master: 10.469 Rekam Medis ICD-10 (Enkripsi AES-256-CBC Payload, Trapdoor HMAC-SHA256, 128 Bytes/Row Storage Density)</t>
  </si>
  <si>
    <t>Nama Tabel Database</t>
  </si>
  <si>
    <t>Skema Pengindeksan (Indexing Scheme)</t>
  </si>
  <si>
    <t>Total Baris Indeks</t>
  </si>
  <si>
    <t>Rasio Ekspansi vs Baseline</t>
  </si>
  <si>
    <t>Ukuran Memori Indeks (MB)</t>
  </si>
  <si>
    <t>Efisiensi Penyimpanan vs N-Gram (%)</t>
  </si>
  <si>
    <t>Keterangan Arsitektural</t>
  </si>
  <si>
    <t>icds_encrypted</t>
  </si>
  <si>
    <t>Dokumen Terenkripsi (Payload AES-256-CBC)</t>
  </si>
  <si>
    <t>N/A</t>
  </si>
  <si>
    <t>Tabel penyimpanan ciphertext rekam medis pasien</t>
  </si>
  <si>
    <t>exact_index</t>
  </si>
  <si>
    <t>Exact Match (Baseline Deterministik)</t>
  </si>
  <si>
    <t>Pemetaan 1:1 kata per trapdoor, gagal total terhadap typo (0% recall)</t>
  </si>
  <si>
    <t>ngram_index</t>
  </si>
  <si>
    <t>N-Gram (Bi-gram Expansion, n = 2)</t>
  </si>
  <si>
    <t>Baseline (0%)</t>
  </si>
  <si>
    <t>Toleran typo, namun memicu index bloat masif (~8x lipat dari baseline)</t>
  </si>
  <si>
    <t>lsh_index (k=3)</t>
  </si>
  <si>
    <t>LSH MinHash (Recommended, k = 3)</t>
  </si>
  <si>
    <t>Ukuran konstan 3 band per kata: menghemat 62.4% baris vs N-Gram</t>
  </si>
  <si>
    <t>lsh_index (k=5)</t>
  </si>
  <si>
    <t>LSH MinHash (Extended, k = 5)</t>
  </si>
  <si>
    <t>Ukuran konstan 5 band per kata: menghemat 37.4% baris vs N-Gram</t>
  </si>
  <si>
    <t>PANDUAN ANGKA "±" DI NASKAH: ARTI, RUMUS, DAN ASAL DATA</t>
  </si>
  <si>
    <t>Setiap baris di bawah menunjuk ke sel sumber (formula hidup). Kolom "Cocok?" membandingkan teks hasil rumus dengan teks yang tercetak di naskah.</t>
  </si>
  <si>
    <t>Lokasi di naskah</t>
  </si>
  <si>
    <t>Skema / strata</t>
  </si>
  <si>
    <t>Teks di naskah</t>
  </si>
  <si>
    <t>Teks hasil rumus</t>
  </si>
  <si>
    <t>Cocok?</t>
  </si>
  <si>
    <t>Arti angka sesudah ±</t>
  </si>
  <si>
    <t>Rumus</t>
  </si>
  <si>
    <t>Contoh hitung</t>
  </si>
  <si>
    <t>Sel sumber</t>
  </si>
  <si>
    <t>Table 8 (hlm. 10)</t>
  </si>
  <si>
    <t>1.51 ± 0.07</t>
  </si>
  <si>
    <t>Margin of error interval kepercayaan 95% (BUKAN standar deviasi)</t>
  </si>
  <si>
    <t>MoE = t_crit × s / √n, t_crit = T.INV.2T(0,05; n−1) = 1,984 (df = 99)</t>
  </si>
  <si>
    <t>'Pengujian_100_Sampel'!G107 (mean), G108 (s), G111 (MoE)</t>
  </si>
  <si>
    <t>N-Gram (θ = 0.40)</t>
  </si>
  <si>
    <t>248.43 ± 13.13</t>
  </si>
  <si>
    <t>'Pengujian_100_Sampel'!L107, L108, L111</t>
  </si>
  <si>
    <t>LSH (k = 3, τ = 85%)</t>
  </si>
  <si>
    <t>74.58 ± 24.82</t>
  </si>
  <si>
    <t>'Pengujian_100_Sampel'!Q107, Q108, Q111</t>
  </si>
  <si>
    <t>Table 9 (hlm. 12)</t>
  </si>
  <si>
    <t>Short Terms (4–6): N-Gram</t>
  </si>
  <si>
    <t>151.87 ± 46.2</t>
  </si>
  <si>
    <t>Standar deviasi sampel s (BUKAN margin of error)</t>
  </si>
  <si>
    <t>s = STDEV.S(data latensi strata)</t>
  </si>
  <si>
    <t>'Diversitas_Kueri_Tabel9'!F5 (mean), I5 (s)</t>
  </si>
  <si>
    <t>Short Terms (4–6): LSH</t>
  </si>
  <si>
    <t>81.26 ± 61.6</t>
  </si>
  <si>
    <t>'Diversitas_Kueri_Tabel9'!G5 (mean), J5 (s)</t>
  </si>
  <si>
    <t>Medium Terms (7–10): N-Gram</t>
  </si>
  <si>
    <t>197.10 ± 67.1</t>
  </si>
  <si>
    <t>'Diversitas_Kueri_Tabel9'!F6 (mean), I6 (s)</t>
  </si>
  <si>
    <t>Medium Terms (7–10): LSH</t>
  </si>
  <si>
    <t>81.30 ± 37.7</t>
  </si>
  <si>
    <t>'Diversitas_Kueri_Tabel9'!G6 (mean), J6 (s)</t>
  </si>
  <si>
    <t>Long Polysyllabic (≥ 11): N-Gram</t>
  </si>
  <si>
    <t>252.58 ± 67.1</t>
  </si>
  <si>
    <t>'Diversitas_Kueri_Tabel9'!F7 (mean), I7 (s)</t>
  </si>
  <si>
    <t>Long Polysyllabic (≥ 11): LSH</t>
  </si>
  <si>
    <t>79.43 ± 34.0</t>
  </si>
  <si>
    <t>'Diversitas_Kueri_Tabel9'!G7 (mean), J7 (s)</t>
  </si>
  <si>
    <t>Compound Typo (d = 2): N-Gram</t>
  </si>
  <si>
    <t>182.85 ± 65.6</t>
  </si>
  <si>
    <t>'Diversitas_Kueri_Tabel9'!F8 (mean), I8 (s)</t>
  </si>
  <si>
    <t>Compound Typo (d = 2): LSH</t>
  </si>
  <si>
    <t>73.36 ± 33.4</t>
  </si>
  <si>
    <t>'Diversitas_Kueri_Tabel9'!G8 (mean), J8 (s)</t>
  </si>
  <si>
    <t>Phonetic/Orthographic Shifts: N-Gram</t>
  </si>
  <si>
    <t>201.40 ± 71.4</t>
  </si>
  <si>
    <t>'Diversitas_Kueri_Tabel9'!F9 (mean), I9 (s)</t>
  </si>
  <si>
    <t>Phonetic/Orthographic Shifts: LSH</t>
  </si>
  <si>
    <t>86.35 ± 39.1</t>
  </si>
  <si>
    <t>'Diversitas_Kueri_Tabel9'!G9 (mean), J9 (s)</t>
  </si>
  <si>
    <t>Pooled (n = 100), juga di teks hlm. 12: N-Gram</t>
  </si>
  <si>
    <t>197.16 ± 70.9</t>
  </si>
  <si>
    <t>'Diversitas_Kueri_Tabel9'!F10 (mean), I10 (s)</t>
  </si>
  <si>
    <t>Pooled (n = 100), juga di teks hlm. 12: LSH</t>
  </si>
  <si>
    <t>80.34 ± 41.8</t>
  </si>
  <si>
    <t>'Diversitas_Kueri_Tabel9'!G10 (mean), J10 (s)</t>
  </si>
  <si>
    <t>Catatan untuk naskah: kedua tabel memakai "±" dengan arti berbeda (Table 8 = margin of error 95%, Table 9 = standar deviasi). Sebaiknya arti "±" ditulis di caption masing-masing tabel.</t>
  </si>
  <si>
    <t>SKENARIO SENSITIVITAS: DAMPAK 2 LATENSI LSH NEGATIF (Table 7 &amp; 8)</t>
  </si>
  <si>
    <t>Latensi tidak mungkin &lt; 0. Dua nilai negatif berasal dari timer microtime() (jam dinding) yang mundur saat benchmark. Data mentah TIDAK diubah; skenario B hanya menghitung ulang dengan mengecualikan pasangan kueri yang LSH-nya &lt; 0.</t>
  </si>
  <si>
    <t>Statistik</t>
  </si>
  <si>
    <t>A. Seperti di naskah (n = 100)</t>
  </si>
  <si>
    <t>B. Tanpa 2 nilai negatif (n = 98)</t>
  </si>
  <si>
    <t>Rumus skenario B</t>
  </si>
  <si>
    <t>Jumlah pasangan kueri (n)</t>
  </si>
  <si>
    <t>COUNTIF(LSH ≥ 0)</t>
  </si>
  <si>
    <t>Jumlah latensi LSH negatif</t>
  </si>
  <si>
    <t>dikecualikan</t>
  </si>
  <si>
    <t>Mean LSH (ms)</t>
  </si>
  <si>
    <t>AVERAGEIF(LSH ≥ 0)</t>
  </si>
  <si>
    <t>SD sampel hanya baris LSH ≥ 0</t>
  </si>
  <si>
    <t>t_crit (α = 0.05, df = n − 1)</t>
  </si>
  <si>
    <t>T.INV.2T(0,05; n−1)</t>
  </si>
  <si>
    <t>Margin of error LSH (± Table 8)</t>
  </si>
  <si>
    <t>t_crit × s / √n</t>
  </si>
  <si>
    <t>Teks "Mean ± MoE" LSH</t>
  </si>
  <si>
    <t>Mean N-Gram pada pasangan yang sama (ms)</t>
  </si>
  <si>
    <t>AVERAGEIFS(N-Gram; LSH ≥ 0)</t>
  </si>
  <si>
    <t>Penurunan latensi LSH vs N-Gram</t>
  </si>
  <si>
    <t>1 − mean LSH / mean N-Gram</t>
  </si>
  <si>
    <t>Mean selisih berpasangan D̄ (ms)</t>
  </si>
  <si>
    <t>selisih N-Gram − LSH</t>
  </si>
  <si>
    <t>SD selisih (ms)</t>
  </si>
  <si>
    <t>D̄ / (SD selisih / √n)</t>
  </si>
  <si>
    <t>p-value (dua arah)</t>
  </si>
  <si>
    <t>T.DIST.2T(t; n−1)</t>
  </si>
  <si>
    <t>Kesimpulan statistik (LSH signifikan lebih cepat, p &lt; 0,001) sama di kedua skenario; yang berubah adalah besarnya angka (mean, ±, persentase penurunan).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</si>
</sst>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"/>
    <numFmt numFmtId="167" formatCode="0.00&quot;x&quot;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1"/>
      <color rgb="FFC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385723"/>
        <bgColor rgb="FF000000"/>
      </patternFill>
    </fill>
    <fill>
      <patternFill patternType="solid">
        <fgColor rgb="FF1B365D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2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2" fillId="0" borderId="1" applyFont="0" applyNumberFormat="1" applyFill="0" applyBorder="1" applyAlignment="1">
      <alignment horizontal="right" vertical="bottom" textRotation="0" wrapText="false" shrinkToFit="false"/>
    </xf>
    <xf xfId="0" fontId="2" numFmtId="2" fillId="6" borderId="1" applyFont="1" applyNumberFormat="1" applyFill="1" applyBorder="1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7" borderId="1" applyFont="1" applyNumberFormat="0" applyFill="1" applyBorder="1" applyAlignment="0"/>
    <xf xfId="0" fontId="4" numFmtId="0" fillId="0" borderId="1" applyFont="1" applyNumberFormat="0" applyFill="0" applyBorder="1" applyAlignment="0"/>
    <xf xfId="0" fontId="5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4" numFmtId="1" fillId="0" borderId="1" applyFont="1" applyNumberFormat="1" applyFill="0" applyBorder="1" applyAlignment="0"/>
    <xf xfId="0" fontId="0" numFmtId="11" fillId="0" borderId="1" applyFont="0" applyNumberFormat="1" applyFill="0" applyBorder="1" applyAlignment="0"/>
    <xf xfId="0" fontId="2" numFmtId="0" fillId="8" borderId="1" applyFont="1" applyNumberFormat="0" applyFill="1" applyBorder="1" applyAlignment="0"/>
    <xf xfId="0" fontId="0" numFmtId="3" fillId="0" borderId="1" applyFont="0" applyNumberFormat="1" applyFill="0" applyBorder="1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0" numFmtId="4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0" numFmtId="2" fillId="0" borderId="0" applyFont="0" applyNumberFormat="1" applyFill="0" applyBorder="0" applyAlignment="0"/>
    <xf xfId="0" fontId="2" numFmtId="0" fillId="0" borderId="1" applyFont="1" applyNumberFormat="0" applyFill="0" applyBorder="1" applyAlignment="0"/>
    <xf xfId="0" fontId="2" numFmtId="2" fillId="0" borderId="1" applyFont="1" applyNumberFormat="1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1">
      <alignment horizontal="center" vertical="bottom" textRotation="0" wrapText="false" shrinkToFit="false"/>
    </xf>
    <xf xfId="0" fontId="2" numFmtId="166" fillId="0" borderId="1" applyFont="1" applyNumberFormat="1" applyFill="0" applyBorder="1" applyAlignment="1">
      <alignment horizontal="center" vertical="bottom" textRotation="0" wrapText="false" shrinkToFit="false"/>
    </xf>
    <xf xfId="0" fontId="0" numFmtId="166" fillId="0" borderId="0" applyFont="0" applyNumberFormat="1" applyFill="0" applyBorder="0" applyAlignment="1">
      <alignment horizontal="center" vertical="bottom" textRotation="0" wrapText="false" shrinkToFit="false"/>
    </xf>
    <xf xfId="0" fontId="2" numFmtId="165" fillId="0" borderId="1" applyFont="1" applyNumberFormat="1" applyFill="0" applyBorder="1" applyAlignment="0"/>
    <xf xfId="0" fontId="0" numFmtId="165" fillId="0" borderId="0" applyFont="0" applyNumberFormat="1" applyFill="0" applyBorder="0" applyAlignment="0"/>
    <xf xfId="0" fontId="0" numFmtId="167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9" borderId="1" applyFont="0" applyNumberFormat="0" applyFill="1" applyBorder="1" applyAlignment="1">
      <alignment vertical="top" textRotation="0" wrapText="true" shrinkToFit="false"/>
    </xf>
    <xf xfId="0" fontId="0" numFmtId="0" fillId="8" borderId="1" applyFont="0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37"/>
  <sheetViews>
    <sheetView tabSelected="1" workbookViewId="0" showGridLines="true" showRowColHeaders="1">
      <selection activeCell="G131" sqref="G131:Q137"/>
    </sheetView>
  </sheetViews>
  <sheetFormatPr defaultRowHeight="14.4" outlineLevelRow="0" outlineLevelCol="0"/>
  <cols>
    <col min="1" max="1" width="6.856" bestFit="true" customWidth="true" style="0"/>
    <col min="2" max="2" width="9.283" bestFit="true" customWidth="true" style="0"/>
    <col min="3" max="3" width="18.71" bestFit="true" customWidth="true" style="0"/>
    <col min="4" max="4" width="18.71" bestFit="true" customWidth="true" style="0"/>
    <col min="5" max="5" width="68.269" bestFit="true" customWidth="true" style="0"/>
    <col min="6" max="6" width="179.242" bestFit="true" customWidth="true" style="0"/>
    <col min="7" max="7" width="19.995" bestFit="true" customWidth="true" style="0"/>
    <col min="8" max="8" width="13.568" bestFit="true" customWidth="true" style="0"/>
    <col min="9" max="9" width="18.853" bestFit="true" customWidth="true" style="0"/>
    <col min="10" max="10" width="15.853" bestFit="true" customWidth="true" style="0"/>
    <col min="11" max="11" width="17.853" bestFit="true" customWidth="true" style="0"/>
    <col min="12" max="12" width="25.851" bestFit="true" customWidth="true" style="0"/>
    <col min="13" max="13" width="13.568" bestFit="true" customWidth="true" style="0"/>
    <col min="14" max="14" width="18.853" bestFit="true" customWidth="true" style="0"/>
    <col min="15" max="15" width="15.853" bestFit="true" customWidth="true" style="0"/>
    <col min="16" max="16" width="17.853" bestFit="true" customWidth="true" style="0"/>
    <col min="17" max="17" width="23.423" bestFit="true" customWidth="true" style="0"/>
    <col min="18" max="18" width="13.568" bestFit="true" customWidth="true" style="0"/>
    <col min="19" max="19" width="18.853" bestFit="true" customWidth="true" style="0"/>
    <col min="20" max="20" width="218.09" bestFit="true" customWidth="true" style="0"/>
    <col min="21" max="21" width="17.853" bestFit="true" customWidth="true" style="0"/>
    <col min="22" max="22" width="29.707" bestFit="true" customWidth="true" style="0"/>
  </cols>
  <sheetData>
    <row r="1" spans="1:22" customHeight="1" ht="24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3" t="s">
        <v>2</v>
      </c>
      <c r="M1" s="3"/>
      <c r="N1" s="3"/>
      <c r="O1" s="3"/>
      <c r="P1" s="3"/>
      <c r="Q1" s="4" t="s">
        <v>3</v>
      </c>
      <c r="R1" s="4"/>
      <c r="S1" s="4"/>
      <c r="T1" s="4"/>
      <c r="U1" s="4"/>
      <c r="V1" s="1" t="s">
        <v>4</v>
      </c>
    </row>
    <row r="2" spans="1:22" customHeight="1" ht="2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1" t="s">
        <v>16</v>
      </c>
    </row>
    <row r="3" spans="1:22">
      <c r="A3" s="7">
        <v>1</v>
      </c>
      <c r="B3" s="7" t="s">
        <v>17</v>
      </c>
      <c r="C3" s="5" t="s">
        <v>18</v>
      </c>
      <c r="D3" s="5" t="s">
        <v>19</v>
      </c>
      <c r="E3" s="7" t="s">
        <v>20</v>
      </c>
      <c r="F3" s="5" t="s">
        <v>21</v>
      </c>
      <c r="G3" s="9">
        <v>1.91</v>
      </c>
      <c r="H3" s="8">
        <v>0</v>
      </c>
      <c r="I3" s="8">
        <v>0</v>
      </c>
      <c r="J3" s="8">
        <v>0</v>
      </c>
      <c r="K3" s="8">
        <v>0</v>
      </c>
      <c r="L3" s="9">
        <v>266.63999999999999</v>
      </c>
      <c r="M3" s="8">
        <v>100</v>
      </c>
      <c r="N3" s="8">
        <v>5497</v>
      </c>
      <c r="O3" s="8">
        <v>50</v>
      </c>
      <c r="P3" s="8">
        <v>49</v>
      </c>
      <c r="Q3" s="9">
        <v>181.53999999999999</v>
      </c>
      <c r="R3" s="8">
        <v>100</v>
      </c>
      <c r="S3" s="8">
        <v>7414</v>
      </c>
      <c r="T3" s="8">
        <v>50</v>
      </c>
      <c r="U3" s="8">
        <v>49</v>
      </c>
      <c r="V3" s="6">
        <f>L3-Q3</f>
        <v>85.099999999999994</v>
      </c>
    </row>
    <row r="4" spans="1:22">
      <c r="A4" s="7">
        <v>2</v>
      </c>
      <c r="B4" s="7" t="s">
        <v>22</v>
      </c>
      <c r="C4" s="5" t="s">
        <v>23</v>
      </c>
      <c r="D4" s="5" t="s">
        <v>24</v>
      </c>
      <c r="E4" s="7" t="s">
        <v>25</v>
      </c>
      <c r="F4" s="5" t="s">
        <v>26</v>
      </c>
      <c r="G4" s="9">
        <v>2.08</v>
      </c>
      <c r="H4" s="8">
        <v>0</v>
      </c>
      <c r="I4" s="8">
        <v>0</v>
      </c>
      <c r="J4" s="8">
        <v>0</v>
      </c>
      <c r="K4" s="8">
        <v>0</v>
      </c>
      <c r="L4" s="9">
        <v>227.99000000000001</v>
      </c>
      <c r="M4" s="8">
        <v>100</v>
      </c>
      <c r="N4" s="8">
        <v>4775</v>
      </c>
      <c r="O4" s="8">
        <v>89</v>
      </c>
      <c r="P4" s="8">
        <v>88</v>
      </c>
      <c r="Q4" s="9">
        <v>83.42</v>
      </c>
      <c r="R4" s="8">
        <v>100</v>
      </c>
      <c r="S4" s="8">
        <v>3544</v>
      </c>
      <c r="T4" s="8">
        <v>89</v>
      </c>
      <c r="U4" s="8">
        <v>88</v>
      </c>
      <c r="V4" s="6">
        <f>L4-Q4</f>
        <v>144.56999999999999</v>
      </c>
    </row>
    <row r="5" spans="1:22">
      <c r="A5" s="7">
        <v>3</v>
      </c>
      <c r="B5" s="7" t="s">
        <v>27</v>
      </c>
      <c r="C5" s="5" t="s">
        <v>28</v>
      </c>
      <c r="D5" s="5" t="s">
        <v>29</v>
      </c>
      <c r="E5" s="7" t="s">
        <v>30</v>
      </c>
      <c r="F5" s="5" t="s">
        <v>31</v>
      </c>
      <c r="G5" s="9">
        <v>1.47</v>
      </c>
      <c r="H5" s="8">
        <v>0</v>
      </c>
      <c r="I5" s="8">
        <v>0</v>
      </c>
      <c r="J5" s="8">
        <v>0</v>
      </c>
      <c r="K5" s="8">
        <v>0</v>
      </c>
      <c r="L5" s="9">
        <v>244.38999999999999</v>
      </c>
      <c r="M5" s="8">
        <v>100</v>
      </c>
      <c r="N5" s="8">
        <v>5628</v>
      </c>
      <c r="O5" s="8">
        <v>479</v>
      </c>
      <c r="P5" s="8">
        <v>478</v>
      </c>
      <c r="Q5" s="9">
        <v>203.16999999999999</v>
      </c>
      <c r="R5" s="8">
        <v>100</v>
      </c>
      <c r="S5" s="8">
        <v>6030</v>
      </c>
      <c r="T5" s="8">
        <v>479</v>
      </c>
      <c r="U5" s="8">
        <v>478</v>
      </c>
      <c r="V5" s="6">
        <f>L5-Q5</f>
        <v>41.22</v>
      </c>
    </row>
    <row r="6" spans="1:22">
      <c r="A6" s="7">
        <v>4</v>
      </c>
      <c r="B6" s="7" t="s">
        <v>32</v>
      </c>
      <c r="C6" s="5" t="s">
        <v>33</v>
      </c>
      <c r="D6" s="5" t="s">
        <v>34</v>
      </c>
      <c r="E6" s="7" t="s">
        <v>35</v>
      </c>
      <c r="F6" s="5" t="s">
        <v>36</v>
      </c>
      <c r="G6" s="9">
        <v>3.06</v>
      </c>
      <c r="H6" s="8">
        <v>0</v>
      </c>
      <c r="I6" s="8">
        <v>0</v>
      </c>
      <c r="J6" s="8">
        <v>0</v>
      </c>
      <c r="K6" s="8">
        <v>0</v>
      </c>
      <c r="L6" s="9">
        <v>388.17000000000002</v>
      </c>
      <c r="M6" s="8">
        <v>100</v>
      </c>
      <c r="N6" s="8">
        <v>5777</v>
      </c>
      <c r="O6" s="8">
        <v>8</v>
      </c>
      <c r="P6" s="8">
        <v>7</v>
      </c>
      <c r="Q6" s="9">
        <v>109.70999999999999</v>
      </c>
      <c r="R6" s="8">
        <v>100</v>
      </c>
      <c r="S6" s="8">
        <v>4236</v>
      </c>
      <c r="T6" s="8">
        <v>8</v>
      </c>
      <c r="U6" s="8">
        <v>7</v>
      </c>
      <c r="V6" s="6">
        <f>L6-Q6</f>
        <v>278.46000000000004</v>
      </c>
    </row>
    <row r="7" spans="1:22">
      <c r="A7" s="7">
        <v>5</v>
      </c>
      <c r="B7" s="7" t="s">
        <v>37</v>
      </c>
      <c r="C7" s="5" t="s">
        <v>38</v>
      </c>
      <c r="D7" s="5" t="s">
        <v>39</v>
      </c>
      <c r="E7" s="7" t="s">
        <v>20</v>
      </c>
      <c r="F7" s="5" t="s">
        <v>40</v>
      </c>
      <c r="G7" s="9">
        <v>1.73</v>
      </c>
      <c r="H7" s="8">
        <v>0</v>
      </c>
      <c r="I7" s="8">
        <v>0</v>
      </c>
      <c r="J7" s="8">
        <v>0</v>
      </c>
      <c r="K7" s="8">
        <v>0</v>
      </c>
      <c r="L7" s="9">
        <v>239.94</v>
      </c>
      <c r="M7" s="8">
        <v>100</v>
      </c>
      <c r="N7" s="8">
        <v>4051</v>
      </c>
      <c r="O7" s="8">
        <v>31</v>
      </c>
      <c r="P7" s="8">
        <v>30</v>
      </c>
      <c r="Q7" s="9">
        <v>73.54000000000001</v>
      </c>
      <c r="R7" s="8">
        <v>100</v>
      </c>
      <c r="S7" s="8">
        <v>2672</v>
      </c>
      <c r="T7" s="8">
        <v>31</v>
      </c>
      <c r="U7" s="8">
        <v>30</v>
      </c>
      <c r="V7" s="6">
        <f>L7-Q7</f>
        <v>166.39999999999998</v>
      </c>
    </row>
    <row r="8" spans="1:22">
      <c r="A8" s="7">
        <v>6</v>
      </c>
      <c r="B8" s="7" t="s">
        <v>41</v>
      </c>
      <c r="C8" s="5" t="s">
        <v>42</v>
      </c>
      <c r="D8" s="5" t="s">
        <v>43</v>
      </c>
      <c r="E8" s="7" t="s">
        <v>25</v>
      </c>
      <c r="F8" s="5" t="s">
        <v>44</v>
      </c>
      <c r="G8" s="9">
        <v>1.9</v>
      </c>
      <c r="H8" s="8">
        <v>0</v>
      </c>
      <c r="I8" s="8">
        <v>0</v>
      </c>
      <c r="J8" s="8">
        <v>0</v>
      </c>
      <c r="K8" s="8">
        <v>0</v>
      </c>
      <c r="L8" s="9">
        <v>272.81</v>
      </c>
      <c r="M8" s="8">
        <v>100</v>
      </c>
      <c r="N8" s="8">
        <v>5813</v>
      </c>
      <c r="O8" s="8">
        <v>66</v>
      </c>
      <c r="P8" s="8">
        <v>65</v>
      </c>
      <c r="Q8" s="9">
        <v>96.060000000000002</v>
      </c>
      <c r="R8" s="8">
        <v>100</v>
      </c>
      <c r="S8" s="8">
        <v>4401</v>
      </c>
      <c r="T8" s="8">
        <v>66</v>
      </c>
      <c r="U8" s="8">
        <v>65</v>
      </c>
      <c r="V8" s="6">
        <f>L8-Q8</f>
        <v>176.75</v>
      </c>
    </row>
    <row r="9" spans="1:22">
      <c r="A9" s="7">
        <v>7</v>
      </c>
      <c r="B9" s="7" t="s">
        <v>45</v>
      </c>
      <c r="C9" s="5" t="s">
        <v>46</v>
      </c>
      <c r="D9" s="5" t="s">
        <v>47</v>
      </c>
      <c r="E9" s="7" t="s">
        <v>30</v>
      </c>
      <c r="F9" s="5" t="s">
        <v>48</v>
      </c>
      <c r="G9" s="9">
        <v>1.89</v>
      </c>
      <c r="H9" s="8">
        <v>0</v>
      </c>
      <c r="I9" s="8">
        <v>0</v>
      </c>
      <c r="J9" s="8">
        <v>0</v>
      </c>
      <c r="K9" s="8">
        <v>0</v>
      </c>
      <c r="L9" s="9">
        <v>275.22000000000003</v>
      </c>
      <c r="M9" s="8">
        <v>0</v>
      </c>
      <c r="N9" s="8">
        <v>7124</v>
      </c>
      <c r="O9" s="8">
        <v>0</v>
      </c>
      <c r="P9" s="8">
        <v>0</v>
      </c>
      <c r="Q9" s="9">
        <v>125.72</v>
      </c>
      <c r="R9" s="8">
        <v>0</v>
      </c>
      <c r="S9" s="8">
        <v>5923</v>
      </c>
      <c r="T9" s="8">
        <v>0</v>
      </c>
      <c r="U9" s="8">
        <v>0</v>
      </c>
      <c r="V9" s="6">
        <f>L9-Q9</f>
        <v>149.50000000000003</v>
      </c>
    </row>
    <row r="10" spans="1:22">
      <c r="A10" s="7">
        <v>8</v>
      </c>
      <c r="B10" s="7" t="s">
        <v>49</v>
      </c>
      <c r="C10" s="5" t="s">
        <v>50</v>
      </c>
      <c r="D10" s="5" t="s">
        <v>51</v>
      </c>
      <c r="E10" s="7" t="s">
        <v>35</v>
      </c>
      <c r="F10" s="5" t="s">
        <v>52</v>
      </c>
      <c r="G10" s="9">
        <v>1.48</v>
      </c>
      <c r="H10" s="8">
        <v>0</v>
      </c>
      <c r="I10" s="8">
        <v>0</v>
      </c>
      <c r="J10" s="8">
        <v>0</v>
      </c>
      <c r="K10" s="8">
        <v>0</v>
      </c>
      <c r="L10" s="9">
        <v>369.0</v>
      </c>
      <c r="M10" s="8">
        <v>100</v>
      </c>
      <c r="N10" s="8">
        <v>8028</v>
      </c>
      <c r="O10" s="8">
        <v>7</v>
      </c>
      <c r="P10" s="8">
        <v>6</v>
      </c>
      <c r="Q10" s="9">
        <v>148.34999999999999</v>
      </c>
      <c r="R10" s="8">
        <v>100</v>
      </c>
      <c r="S10" s="8">
        <v>6685</v>
      </c>
      <c r="T10" s="8">
        <v>7</v>
      </c>
      <c r="U10" s="8">
        <v>6</v>
      </c>
      <c r="V10" s="6">
        <f>L10-Q10</f>
        <v>220.65000000000001</v>
      </c>
    </row>
    <row r="11" spans="1:22">
      <c r="A11" s="7">
        <v>9</v>
      </c>
      <c r="B11" s="7" t="s">
        <v>53</v>
      </c>
      <c r="C11" s="5" t="s">
        <v>54</v>
      </c>
      <c r="D11" s="5" t="s">
        <v>55</v>
      </c>
      <c r="E11" s="7" t="s">
        <v>20</v>
      </c>
      <c r="F11" s="5" t="s">
        <v>56</v>
      </c>
      <c r="G11" s="9">
        <v>1.66</v>
      </c>
      <c r="H11" s="8">
        <v>0</v>
      </c>
      <c r="I11" s="8">
        <v>0</v>
      </c>
      <c r="J11" s="8">
        <v>0</v>
      </c>
      <c r="K11" s="8">
        <v>0</v>
      </c>
      <c r="L11" s="9">
        <v>277.19999999999999</v>
      </c>
      <c r="M11" s="8">
        <v>100</v>
      </c>
      <c r="N11" s="8">
        <v>5554</v>
      </c>
      <c r="O11" s="8">
        <v>1</v>
      </c>
      <c r="P11" s="8">
        <v>0</v>
      </c>
      <c r="Q11" s="9">
        <v>130.11000000000001</v>
      </c>
      <c r="R11" s="8">
        <v>100</v>
      </c>
      <c r="S11" s="8">
        <v>6009</v>
      </c>
      <c r="T11" s="8">
        <v>1</v>
      </c>
      <c r="U11" s="8">
        <v>0</v>
      </c>
      <c r="V11" s="6">
        <f>L11-Q11</f>
        <v>147.089999999999975</v>
      </c>
    </row>
    <row r="12" spans="1:22">
      <c r="A12" s="7">
        <v>10</v>
      </c>
      <c r="B12" s="7" t="s">
        <v>57</v>
      </c>
      <c r="C12" s="5" t="s">
        <v>58</v>
      </c>
      <c r="D12" s="5" t="s">
        <v>59</v>
      </c>
      <c r="E12" s="7" t="s">
        <v>25</v>
      </c>
      <c r="F12" s="5" t="s">
        <v>60</v>
      </c>
      <c r="G12" s="9">
        <v>2.07</v>
      </c>
      <c r="H12" s="8">
        <v>0</v>
      </c>
      <c r="I12" s="8">
        <v>0</v>
      </c>
      <c r="J12" s="8">
        <v>0</v>
      </c>
      <c r="K12" s="8">
        <v>0</v>
      </c>
      <c r="L12" s="9">
        <v>338.33999999999997</v>
      </c>
      <c r="M12" s="8">
        <v>100</v>
      </c>
      <c r="N12" s="8">
        <v>5359</v>
      </c>
      <c r="O12" s="8">
        <v>71</v>
      </c>
      <c r="P12" s="8">
        <v>70</v>
      </c>
      <c r="Q12" s="9">
        <v>28.1</v>
      </c>
      <c r="R12" s="8">
        <v>100</v>
      </c>
      <c r="S12" s="8">
        <v>1332</v>
      </c>
      <c r="T12" s="8">
        <v>71</v>
      </c>
      <c r="U12" s="8">
        <v>70</v>
      </c>
      <c r="V12" s="6">
        <f>L12-Q12</f>
        <v>310.23999999999995</v>
      </c>
    </row>
    <row r="13" spans="1:22">
      <c r="A13" s="7">
        <v>11</v>
      </c>
      <c r="B13" s="7" t="s">
        <v>61</v>
      </c>
      <c r="C13" s="5" t="s">
        <v>62</v>
      </c>
      <c r="D13" s="5" t="s">
        <v>63</v>
      </c>
      <c r="E13" s="7" t="s">
        <v>30</v>
      </c>
      <c r="F13" s="5" t="s">
        <v>64</v>
      </c>
      <c r="G13" s="9">
        <v>1.61</v>
      </c>
      <c r="H13" s="8">
        <v>0</v>
      </c>
      <c r="I13" s="8">
        <v>0</v>
      </c>
      <c r="J13" s="8">
        <v>0</v>
      </c>
      <c r="K13" s="8">
        <v>0</v>
      </c>
      <c r="L13" s="9">
        <v>210.50999999999999</v>
      </c>
      <c r="M13" s="8">
        <v>100</v>
      </c>
      <c r="N13" s="8">
        <v>4399</v>
      </c>
      <c r="O13" s="8">
        <v>20</v>
      </c>
      <c r="P13" s="8">
        <v>19</v>
      </c>
      <c r="Q13" s="9">
        <v>72.23999999999999</v>
      </c>
      <c r="R13" s="8">
        <v>100</v>
      </c>
      <c r="S13" s="8">
        <v>3445</v>
      </c>
      <c r="T13" s="8">
        <v>20</v>
      </c>
      <c r="U13" s="8">
        <v>19</v>
      </c>
      <c r="V13" s="6">
        <f>L13-Q13</f>
        <v>138.26999999999998</v>
      </c>
    </row>
    <row r="14" spans="1:22">
      <c r="A14" s="7">
        <v>12</v>
      </c>
      <c r="B14" s="7" t="s">
        <v>65</v>
      </c>
      <c r="C14" s="5" t="s">
        <v>66</v>
      </c>
      <c r="D14" s="5" t="s">
        <v>67</v>
      </c>
      <c r="E14" s="7" t="s">
        <v>35</v>
      </c>
      <c r="F14" s="5" t="s">
        <v>68</v>
      </c>
      <c r="G14" s="9">
        <v>1.55</v>
      </c>
      <c r="H14" s="8">
        <v>0</v>
      </c>
      <c r="I14" s="8">
        <v>0</v>
      </c>
      <c r="J14" s="8">
        <v>0</v>
      </c>
      <c r="K14" s="8">
        <v>0</v>
      </c>
      <c r="L14" s="9">
        <v>223.84</v>
      </c>
      <c r="M14" s="8">
        <v>100</v>
      </c>
      <c r="N14" s="8">
        <v>4006</v>
      </c>
      <c r="O14" s="8">
        <v>6</v>
      </c>
      <c r="P14" s="8">
        <v>5</v>
      </c>
      <c r="Q14" s="9">
        <v>80.22</v>
      </c>
      <c r="R14" s="8">
        <v>100</v>
      </c>
      <c r="S14" s="8">
        <v>3185</v>
      </c>
      <c r="T14" s="8">
        <v>6</v>
      </c>
      <c r="U14" s="8">
        <v>5</v>
      </c>
      <c r="V14" s="6">
        <f>L14-Q14</f>
        <v>143.62</v>
      </c>
    </row>
    <row r="15" spans="1:22">
      <c r="A15" s="7">
        <v>13</v>
      </c>
      <c r="B15" s="7" t="s">
        <v>69</v>
      </c>
      <c r="C15" s="5" t="s">
        <v>70</v>
      </c>
      <c r="D15" s="5" t="s">
        <v>71</v>
      </c>
      <c r="E15" s="7" t="s">
        <v>20</v>
      </c>
      <c r="F15" s="5" t="s">
        <v>72</v>
      </c>
      <c r="G15" s="9">
        <v>2.1</v>
      </c>
      <c r="H15" s="8">
        <v>0</v>
      </c>
      <c r="I15" s="8">
        <v>0</v>
      </c>
      <c r="J15" s="8">
        <v>0</v>
      </c>
      <c r="K15" s="8">
        <v>0</v>
      </c>
      <c r="L15" s="9">
        <v>86.95</v>
      </c>
      <c r="M15" s="8">
        <v>100</v>
      </c>
      <c r="N15" s="8">
        <v>2273</v>
      </c>
      <c r="O15" s="8">
        <v>490</v>
      </c>
      <c r="P15" s="8">
        <v>489</v>
      </c>
      <c r="Q15" s="9">
        <v>39.99</v>
      </c>
      <c r="R15" s="8">
        <v>100</v>
      </c>
      <c r="S15" s="8">
        <v>1958</v>
      </c>
      <c r="T15" s="8">
        <v>490</v>
      </c>
      <c r="U15" s="8">
        <v>489</v>
      </c>
      <c r="V15" s="6">
        <f>L15-Q15</f>
        <v>46.96</v>
      </c>
    </row>
    <row r="16" spans="1:22">
      <c r="A16" s="7">
        <v>14</v>
      </c>
      <c r="B16" s="7" t="s">
        <v>73</v>
      </c>
      <c r="C16" s="5" t="s">
        <v>74</v>
      </c>
      <c r="D16" s="5" t="s">
        <v>75</v>
      </c>
      <c r="E16" s="7" t="s">
        <v>25</v>
      </c>
      <c r="F16" s="5" t="s">
        <v>76</v>
      </c>
      <c r="G16" s="9">
        <v>1.52</v>
      </c>
      <c r="H16" s="8">
        <v>0</v>
      </c>
      <c r="I16" s="8">
        <v>0</v>
      </c>
      <c r="J16" s="8">
        <v>0</v>
      </c>
      <c r="K16" s="8">
        <v>0</v>
      </c>
      <c r="L16" s="9">
        <v>380.79000000000002</v>
      </c>
      <c r="M16" s="8">
        <v>100</v>
      </c>
      <c r="N16" s="8">
        <v>6243</v>
      </c>
      <c r="O16" s="8">
        <v>748</v>
      </c>
      <c r="P16" s="8">
        <v>747</v>
      </c>
      <c r="Q16" s="9">
        <v>124.98</v>
      </c>
      <c r="R16" s="8">
        <v>100</v>
      </c>
      <c r="S16" s="8">
        <v>4998</v>
      </c>
      <c r="T16" s="8">
        <v>748</v>
      </c>
      <c r="U16" s="8">
        <v>747</v>
      </c>
      <c r="V16" s="6">
        <f>L16-Q16</f>
        <v>255.81</v>
      </c>
    </row>
    <row r="17" spans="1:22">
      <c r="A17" s="7">
        <v>15</v>
      </c>
      <c r="B17" s="7" t="s">
        <v>77</v>
      </c>
      <c r="C17" s="5" t="s">
        <v>78</v>
      </c>
      <c r="D17" s="5" t="s">
        <v>79</v>
      </c>
      <c r="E17" s="7" t="s">
        <v>30</v>
      </c>
      <c r="F17" s="5" t="s">
        <v>80</v>
      </c>
      <c r="G17" s="9">
        <v>1.71</v>
      </c>
      <c r="H17" s="8">
        <v>0</v>
      </c>
      <c r="I17" s="8">
        <v>0</v>
      </c>
      <c r="J17" s="8">
        <v>0</v>
      </c>
      <c r="K17" s="8">
        <v>0</v>
      </c>
      <c r="L17" s="9">
        <v>134.75999999999999</v>
      </c>
      <c r="M17" s="8">
        <v>100</v>
      </c>
      <c r="N17" s="8">
        <v>2550</v>
      </c>
      <c r="O17" s="8">
        <v>10</v>
      </c>
      <c r="P17" s="8">
        <v>9</v>
      </c>
      <c r="Q17" s="9">
        <v>131.44999999999999</v>
      </c>
      <c r="R17" s="8">
        <v>100</v>
      </c>
      <c r="S17" s="8">
        <v>6168</v>
      </c>
      <c r="T17" s="8">
        <v>10</v>
      </c>
      <c r="U17" s="8">
        <v>9</v>
      </c>
      <c r="V17" s="6">
        <f>L17-Q17</f>
        <v>3.31</v>
      </c>
    </row>
    <row r="18" spans="1:22">
      <c r="A18" s="7">
        <v>16</v>
      </c>
      <c r="B18" s="7" t="s">
        <v>81</v>
      </c>
      <c r="C18" s="5" t="s">
        <v>82</v>
      </c>
      <c r="D18" s="5" t="s">
        <v>83</v>
      </c>
      <c r="E18" s="7" t="s">
        <v>35</v>
      </c>
      <c r="F18" s="5" t="s">
        <v>84</v>
      </c>
      <c r="G18" s="9">
        <v>1.44</v>
      </c>
      <c r="H18" s="8">
        <v>0</v>
      </c>
      <c r="I18" s="8">
        <v>0</v>
      </c>
      <c r="J18" s="8">
        <v>0</v>
      </c>
      <c r="K18" s="8">
        <v>0</v>
      </c>
      <c r="L18" s="9">
        <v>232.0</v>
      </c>
      <c r="M18" s="8">
        <v>0</v>
      </c>
      <c r="N18" s="8">
        <v>6128</v>
      </c>
      <c r="O18" s="8">
        <v>0</v>
      </c>
      <c r="P18" s="8">
        <v>0</v>
      </c>
      <c r="Q18" s="9">
        <v>104.98999999999999</v>
      </c>
      <c r="R18" s="8">
        <v>0</v>
      </c>
      <c r="S18" s="8">
        <v>4708</v>
      </c>
      <c r="T18" s="8">
        <v>0</v>
      </c>
      <c r="U18" s="8">
        <v>0</v>
      </c>
      <c r="V18" s="6">
        <f>L18-Q18</f>
        <v>127.010000000000005</v>
      </c>
    </row>
    <row r="19" spans="1:22">
      <c r="A19" s="7">
        <v>17</v>
      </c>
      <c r="B19" s="7" t="s">
        <v>85</v>
      </c>
      <c r="C19" s="5" t="s">
        <v>86</v>
      </c>
      <c r="D19" s="5" t="s">
        <v>87</v>
      </c>
      <c r="E19" s="7" t="s">
        <v>20</v>
      </c>
      <c r="F19" s="5" t="s">
        <v>88</v>
      </c>
      <c r="G19" s="9">
        <v>1.7</v>
      </c>
      <c r="H19" s="8">
        <v>0</v>
      </c>
      <c r="I19" s="8">
        <v>0</v>
      </c>
      <c r="J19" s="8">
        <v>0</v>
      </c>
      <c r="K19" s="8">
        <v>0</v>
      </c>
      <c r="L19" s="9">
        <v>184.66</v>
      </c>
      <c r="M19" s="8">
        <v>100</v>
      </c>
      <c r="N19" s="8">
        <v>3908</v>
      </c>
      <c r="O19" s="8">
        <v>19</v>
      </c>
      <c r="P19" s="8">
        <v>18</v>
      </c>
      <c r="Q19" s="9">
        <v>68.64</v>
      </c>
      <c r="R19" s="8">
        <v>100</v>
      </c>
      <c r="S19" s="8">
        <v>3023</v>
      </c>
      <c r="T19" s="8">
        <v>19</v>
      </c>
      <c r="U19" s="8">
        <v>18</v>
      </c>
      <c r="V19" s="6">
        <f>L19-Q19</f>
        <v>116.019999999999996</v>
      </c>
    </row>
    <row r="20" spans="1:22">
      <c r="A20" s="7">
        <v>18</v>
      </c>
      <c r="B20" s="7" t="s">
        <v>89</v>
      </c>
      <c r="C20" s="5" t="s">
        <v>90</v>
      </c>
      <c r="D20" s="5" t="s">
        <v>91</v>
      </c>
      <c r="E20" s="7" t="s">
        <v>25</v>
      </c>
      <c r="F20" s="5" t="s">
        <v>92</v>
      </c>
      <c r="G20" s="9">
        <v>1.87</v>
      </c>
      <c r="H20" s="8">
        <v>0</v>
      </c>
      <c r="I20" s="8">
        <v>0</v>
      </c>
      <c r="J20" s="8">
        <v>0</v>
      </c>
      <c r="K20" s="8">
        <v>0</v>
      </c>
      <c r="L20" s="9">
        <v>327.29000000000002</v>
      </c>
      <c r="M20" s="8">
        <v>100</v>
      </c>
      <c r="N20" s="8">
        <v>5481</v>
      </c>
      <c r="O20" s="8">
        <v>312</v>
      </c>
      <c r="P20" s="8">
        <v>311</v>
      </c>
      <c r="Q20" s="9">
        <v>117.56</v>
      </c>
      <c r="R20" s="8">
        <v>100</v>
      </c>
      <c r="S20" s="8">
        <v>4824</v>
      </c>
      <c r="T20" s="8">
        <v>312</v>
      </c>
      <c r="U20" s="8">
        <v>311</v>
      </c>
      <c r="V20" s="6">
        <f>L20-Q20</f>
        <v>209.73000000000002</v>
      </c>
    </row>
    <row r="21" spans="1:22">
      <c r="A21" s="7">
        <v>19</v>
      </c>
      <c r="B21" s="7" t="s">
        <v>93</v>
      </c>
      <c r="C21" s="5" t="s">
        <v>94</v>
      </c>
      <c r="D21" s="5" t="s">
        <v>95</v>
      </c>
      <c r="E21" s="7" t="s">
        <v>30</v>
      </c>
      <c r="F21" s="5" t="s">
        <v>96</v>
      </c>
      <c r="G21" s="9">
        <v>1.66</v>
      </c>
      <c r="H21" s="8">
        <v>0</v>
      </c>
      <c r="I21" s="8">
        <v>0</v>
      </c>
      <c r="J21" s="8">
        <v>0</v>
      </c>
      <c r="K21" s="8">
        <v>0</v>
      </c>
      <c r="L21" s="9">
        <v>272.47000000000003</v>
      </c>
      <c r="M21" s="8">
        <v>100</v>
      </c>
      <c r="N21" s="8">
        <v>5458</v>
      </c>
      <c r="O21" s="8">
        <v>17</v>
      </c>
      <c r="P21" s="8">
        <v>16</v>
      </c>
      <c r="Q21" s="9">
        <v>128.47</v>
      </c>
      <c r="R21" s="8">
        <v>100</v>
      </c>
      <c r="S21" s="8">
        <v>5440</v>
      </c>
      <c r="T21" s="8">
        <v>17</v>
      </c>
      <c r="U21" s="8">
        <v>16</v>
      </c>
      <c r="V21" s="6">
        <f>L21-Q21</f>
        <v>144</v>
      </c>
    </row>
    <row r="22" spans="1:22">
      <c r="A22" s="7">
        <v>20</v>
      </c>
      <c r="B22" s="7" t="s">
        <v>97</v>
      </c>
      <c r="C22" s="5" t="s">
        <v>98</v>
      </c>
      <c r="D22" s="5" t="s">
        <v>99</v>
      </c>
      <c r="E22" s="7" t="s">
        <v>35</v>
      </c>
      <c r="F22" s="5" t="s">
        <v>100</v>
      </c>
      <c r="G22" s="9">
        <v>2.07</v>
      </c>
      <c r="H22" s="8">
        <v>0</v>
      </c>
      <c r="I22" s="8">
        <v>0</v>
      </c>
      <c r="J22" s="8">
        <v>0</v>
      </c>
      <c r="K22" s="8">
        <v>0</v>
      </c>
      <c r="L22" s="9">
        <v>321.10000000000002</v>
      </c>
      <c r="M22" s="8">
        <v>100</v>
      </c>
      <c r="N22" s="8">
        <v>5332</v>
      </c>
      <c r="O22" s="8">
        <v>46</v>
      </c>
      <c r="P22" s="8">
        <v>45</v>
      </c>
      <c r="Q22" s="9">
        <v>185.25</v>
      </c>
      <c r="R22" s="8">
        <v>100</v>
      </c>
      <c r="S22" s="8">
        <v>7712</v>
      </c>
      <c r="T22" s="8">
        <v>46</v>
      </c>
      <c r="U22" s="8">
        <v>45</v>
      </c>
      <c r="V22" s="6">
        <f>L22-Q22</f>
        <v>135.85000000000002</v>
      </c>
    </row>
    <row r="23" spans="1:22">
      <c r="A23" s="7">
        <v>21</v>
      </c>
      <c r="B23" s="7" t="s">
        <v>101</v>
      </c>
      <c r="C23" s="5" t="s">
        <v>102</v>
      </c>
      <c r="D23" s="5" t="s">
        <v>103</v>
      </c>
      <c r="E23" s="7" t="s">
        <v>20</v>
      </c>
      <c r="F23" s="5" t="s">
        <v>104</v>
      </c>
      <c r="G23" s="9">
        <v>1.6</v>
      </c>
      <c r="H23" s="8">
        <v>0</v>
      </c>
      <c r="I23" s="8">
        <v>0</v>
      </c>
      <c r="J23" s="8">
        <v>0</v>
      </c>
      <c r="K23" s="8">
        <v>0</v>
      </c>
      <c r="L23" s="9">
        <v>296.47000000000003</v>
      </c>
      <c r="M23" s="8">
        <v>100</v>
      </c>
      <c r="N23" s="8">
        <v>4436</v>
      </c>
      <c r="O23" s="8">
        <v>2284</v>
      </c>
      <c r="P23" s="8">
        <v>2283</v>
      </c>
      <c r="Q23" s="10">
        <v>-632.26999999999998</v>
      </c>
      <c r="R23" s="8">
        <v>100</v>
      </c>
      <c r="S23" s="8">
        <v>4672</v>
      </c>
      <c r="T23" s="8">
        <v>2284</v>
      </c>
      <c r="U23" s="8">
        <v>2283</v>
      </c>
      <c r="V23" s="6">
        <f>L23-Q23</f>
        <v>928.74000000000001</v>
      </c>
    </row>
    <row r="24" spans="1:22">
      <c r="A24" s="7">
        <v>22</v>
      </c>
      <c r="B24" s="7" t="s">
        <v>105</v>
      </c>
      <c r="C24" s="5" t="s">
        <v>106</v>
      </c>
      <c r="D24" s="5" t="s">
        <v>107</v>
      </c>
      <c r="E24" s="7" t="s">
        <v>25</v>
      </c>
      <c r="F24" s="5" t="s">
        <v>108</v>
      </c>
      <c r="G24" s="9">
        <v>1.88</v>
      </c>
      <c r="H24" s="8">
        <v>0</v>
      </c>
      <c r="I24" s="8">
        <v>0</v>
      </c>
      <c r="J24" s="8">
        <v>0</v>
      </c>
      <c r="K24" s="8">
        <v>0</v>
      </c>
      <c r="L24" s="9">
        <v>159.91</v>
      </c>
      <c r="M24" s="8">
        <v>100</v>
      </c>
      <c r="N24" s="8">
        <v>3287</v>
      </c>
      <c r="O24" s="8">
        <v>249</v>
      </c>
      <c r="P24" s="8">
        <v>248</v>
      </c>
      <c r="Q24" s="10">
        <v>-848.40999999999997</v>
      </c>
      <c r="R24" s="8">
        <v>100</v>
      </c>
      <c r="S24" s="8">
        <v>3716</v>
      </c>
      <c r="T24" s="8">
        <v>249</v>
      </c>
      <c r="U24" s="8">
        <v>248</v>
      </c>
      <c r="V24" s="6">
        <f>L24-Q24</f>
        <v>1008.31999999999994</v>
      </c>
    </row>
    <row r="25" spans="1:22">
      <c r="A25" s="7">
        <v>23</v>
      </c>
      <c r="B25" s="7" t="s">
        <v>109</v>
      </c>
      <c r="C25" s="5" t="s">
        <v>110</v>
      </c>
      <c r="D25" s="5" t="s">
        <v>111</v>
      </c>
      <c r="E25" s="7" t="s">
        <v>30</v>
      </c>
      <c r="F25" s="5" t="s">
        <v>112</v>
      </c>
      <c r="G25" s="9">
        <v>1.48</v>
      </c>
      <c r="H25" s="8">
        <v>0</v>
      </c>
      <c r="I25" s="8">
        <v>0</v>
      </c>
      <c r="J25" s="8">
        <v>0</v>
      </c>
      <c r="K25" s="8">
        <v>0</v>
      </c>
      <c r="L25" s="9">
        <v>203.97</v>
      </c>
      <c r="M25" s="8">
        <v>0</v>
      </c>
      <c r="N25" s="8">
        <v>4770</v>
      </c>
      <c r="O25" s="8">
        <v>1</v>
      </c>
      <c r="P25" s="8">
        <v>1</v>
      </c>
      <c r="Q25" s="9">
        <v>136.16</v>
      </c>
      <c r="R25" s="8">
        <v>0</v>
      </c>
      <c r="S25" s="8">
        <v>5622</v>
      </c>
      <c r="T25" s="8">
        <v>1</v>
      </c>
      <c r="U25" s="8">
        <v>1</v>
      </c>
      <c r="V25" s="6">
        <f>L25-Q25</f>
        <v>67.81</v>
      </c>
    </row>
    <row r="26" spans="1:22">
      <c r="A26" s="7">
        <v>24</v>
      </c>
      <c r="B26" s="7" t="s">
        <v>113</v>
      </c>
      <c r="C26" s="5" t="s">
        <v>114</v>
      </c>
      <c r="D26" s="5" t="s">
        <v>115</v>
      </c>
      <c r="E26" s="7" t="s">
        <v>35</v>
      </c>
      <c r="F26" s="5" t="s">
        <v>116</v>
      </c>
      <c r="G26" s="9">
        <v>1.99</v>
      </c>
      <c r="H26" s="8">
        <v>0</v>
      </c>
      <c r="I26" s="8">
        <v>0</v>
      </c>
      <c r="J26" s="8">
        <v>0</v>
      </c>
      <c r="K26" s="8">
        <v>0</v>
      </c>
      <c r="L26" s="9">
        <v>276.94</v>
      </c>
      <c r="M26" s="8">
        <v>0</v>
      </c>
      <c r="N26" s="8">
        <v>6892</v>
      </c>
      <c r="O26" s="8">
        <v>0</v>
      </c>
      <c r="P26" s="8">
        <v>0</v>
      </c>
      <c r="Q26" s="9">
        <v>84.84999999999999</v>
      </c>
      <c r="R26" s="8">
        <v>0</v>
      </c>
      <c r="S26" s="8">
        <v>4248</v>
      </c>
      <c r="T26" s="8">
        <v>0</v>
      </c>
      <c r="U26" s="8">
        <v>0</v>
      </c>
      <c r="V26" s="6">
        <f>L26-Q26</f>
        <v>192.090000000000003</v>
      </c>
    </row>
    <row r="27" spans="1:22">
      <c r="A27" s="7">
        <v>25</v>
      </c>
      <c r="B27" s="7" t="s">
        <v>117</v>
      </c>
      <c r="C27" s="5" t="s">
        <v>118</v>
      </c>
      <c r="D27" s="5" t="s">
        <v>119</v>
      </c>
      <c r="E27" s="7" t="s">
        <v>20</v>
      </c>
      <c r="F27" s="5" t="s">
        <v>120</v>
      </c>
      <c r="G27" s="9">
        <v>1.47</v>
      </c>
      <c r="H27" s="8">
        <v>0</v>
      </c>
      <c r="I27" s="8">
        <v>0</v>
      </c>
      <c r="J27" s="8">
        <v>0</v>
      </c>
      <c r="K27" s="8">
        <v>0</v>
      </c>
      <c r="L27" s="9">
        <v>235.97</v>
      </c>
      <c r="M27" s="8">
        <v>100</v>
      </c>
      <c r="N27" s="8">
        <v>5370</v>
      </c>
      <c r="O27" s="8">
        <v>23</v>
      </c>
      <c r="P27" s="8">
        <v>22</v>
      </c>
      <c r="Q27" s="9">
        <v>113.060000000000002</v>
      </c>
      <c r="R27" s="8">
        <v>100</v>
      </c>
      <c r="S27" s="8">
        <v>5033</v>
      </c>
      <c r="T27" s="8">
        <v>23</v>
      </c>
      <c r="U27" s="8">
        <v>22</v>
      </c>
      <c r="V27" s="6">
        <f>L27-Q27</f>
        <v>122.91</v>
      </c>
    </row>
    <row r="28" spans="1:22">
      <c r="A28" s="7">
        <v>26</v>
      </c>
      <c r="B28" s="7" t="s">
        <v>121</v>
      </c>
      <c r="C28" s="5" t="s">
        <v>122</v>
      </c>
      <c r="D28" s="5" t="s">
        <v>123</v>
      </c>
      <c r="E28" s="7" t="s">
        <v>25</v>
      </c>
      <c r="F28" s="5" t="s">
        <v>124</v>
      </c>
      <c r="G28" s="9">
        <v>1.09</v>
      </c>
      <c r="H28" s="8">
        <v>0</v>
      </c>
      <c r="I28" s="8">
        <v>0</v>
      </c>
      <c r="J28" s="8">
        <v>0</v>
      </c>
      <c r="K28" s="8">
        <v>0</v>
      </c>
      <c r="L28" s="9">
        <v>304.32999999999998</v>
      </c>
      <c r="M28" s="8">
        <v>100</v>
      </c>
      <c r="N28" s="8">
        <v>4956</v>
      </c>
      <c r="O28" s="8">
        <v>2</v>
      </c>
      <c r="P28" s="8">
        <v>1</v>
      </c>
      <c r="Q28" s="9">
        <v>111.51000000000001</v>
      </c>
      <c r="R28" s="8">
        <v>100</v>
      </c>
      <c r="S28" s="8">
        <v>4711</v>
      </c>
      <c r="T28" s="8">
        <v>2</v>
      </c>
      <c r="U28" s="8">
        <v>1</v>
      </c>
      <c r="V28" s="6">
        <f>L28-Q28</f>
        <v>192.81999999999999</v>
      </c>
    </row>
    <row r="29" spans="1:22">
      <c r="A29" s="7">
        <v>27</v>
      </c>
      <c r="B29" s="7" t="s">
        <v>125</v>
      </c>
      <c r="C29" s="5" t="s">
        <v>126</v>
      </c>
      <c r="D29" s="5" t="s">
        <v>127</v>
      </c>
      <c r="E29" s="7" t="s">
        <v>30</v>
      </c>
      <c r="F29" s="5" t="s">
        <v>128</v>
      </c>
      <c r="G29" s="9">
        <v>1.36</v>
      </c>
      <c r="H29" s="8">
        <v>0</v>
      </c>
      <c r="I29" s="8">
        <v>0</v>
      </c>
      <c r="J29" s="8">
        <v>0</v>
      </c>
      <c r="K29" s="8">
        <v>0</v>
      </c>
      <c r="L29" s="9">
        <v>221.77000000000001</v>
      </c>
      <c r="M29" s="8">
        <v>100</v>
      </c>
      <c r="N29" s="8">
        <v>4576</v>
      </c>
      <c r="O29" s="8">
        <v>137</v>
      </c>
      <c r="P29" s="8">
        <v>136</v>
      </c>
      <c r="Q29" s="9">
        <v>22.11</v>
      </c>
      <c r="R29" s="8">
        <v>100</v>
      </c>
      <c r="S29" s="8">
        <v>868</v>
      </c>
      <c r="T29" s="8">
        <v>137</v>
      </c>
      <c r="U29" s="8">
        <v>136</v>
      </c>
      <c r="V29" s="6">
        <f>L29-Q29</f>
        <v>199.66000000000003</v>
      </c>
    </row>
    <row r="30" spans="1:22">
      <c r="A30" s="7">
        <v>28</v>
      </c>
      <c r="B30" s="7" t="s">
        <v>129</v>
      </c>
      <c r="C30" s="5" t="s">
        <v>130</v>
      </c>
      <c r="D30" s="5" t="s">
        <v>131</v>
      </c>
      <c r="E30" s="7" t="s">
        <v>35</v>
      </c>
      <c r="F30" s="5" t="s">
        <v>132</v>
      </c>
      <c r="G30" s="9">
        <v>1.59</v>
      </c>
      <c r="H30" s="8">
        <v>0</v>
      </c>
      <c r="I30" s="8">
        <v>0</v>
      </c>
      <c r="J30" s="8">
        <v>0</v>
      </c>
      <c r="K30" s="8">
        <v>0</v>
      </c>
      <c r="L30" s="9">
        <v>409.079999999999984</v>
      </c>
      <c r="M30" s="8">
        <v>100</v>
      </c>
      <c r="N30" s="8">
        <v>7507</v>
      </c>
      <c r="O30" s="8">
        <v>393</v>
      </c>
      <c r="P30" s="8">
        <v>392</v>
      </c>
      <c r="Q30" s="9">
        <v>180.069999999999993</v>
      </c>
      <c r="R30" s="8">
        <v>100</v>
      </c>
      <c r="S30" s="8">
        <v>7414</v>
      </c>
      <c r="T30" s="8">
        <v>393</v>
      </c>
      <c r="U30" s="8">
        <v>392</v>
      </c>
      <c r="V30" s="6">
        <f>L30-Q30</f>
        <v>229.0099999999999909</v>
      </c>
    </row>
    <row r="31" spans="1:22">
      <c r="A31" s="7">
        <v>29</v>
      </c>
      <c r="B31" s="7" t="s">
        <v>133</v>
      </c>
      <c r="C31" s="5" t="s">
        <v>134</v>
      </c>
      <c r="D31" s="5" t="s">
        <v>135</v>
      </c>
      <c r="E31" s="7" t="s">
        <v>20</v>
      </c>
      <c r="F31" s="5" t="s">
        <v>136</v>
      </c>
      <c r="G31" s="9">
        <v>1.66</v>
      </c>
      <c r="H31" s="8">
        <v>0</v>
      </c>
      <c r="I31" s="8">
        <v>0</v>
      </c>
      <c r="J31" s="8">
        <v>0</v>
      </c>
      <c r="K31" s="8">
        <v>0</v>
      </c>
      <c r="L31" s="9">
        <v>273.25999999999999</v>
      </c>
      <c r="M31" s="8">
        <v>100</v>
      </c>
      <c r="N31" s="8">
        <v>7282</v>
      </c>
      <c r="O31" s="8">
        <v>144</v>
      </c>
      <c r="P31" s="8">
        <v>143</v>
      </c>
      <c r="Q31" s="9">
        <v>39.34</v>
      </c>
      <c r="R31" s="8">
        <v>100</v>
      </c>
      <c r="S31" s="8">
        <v>1762</v>
      </c>
      <c r="T31" s="8">
        <v>144</v>
      </c>
      <c r="U31" s="8">
        <v>143</v>
      </c>
      <c r="V31" s="6">
        <f>L31-Q31</f>
        <v>233.91999999999999</v>
      </c>
    </row>
    <row r="32" spans="1:22">
      <c r="A32" s="7">
        <v>30</v>
      </c>
      <c r="B32" s="7" t="s">
        <v>137</v>
      </c>
      <c r="C32" s="5" t="s">
        <v>138</v>
      </c>
      <c r="D32" s="5" t="s">
        <v>139</v>
      </c>
      <c r="E32" s="7" t="s">
        <v>25</v>
      </c>
      <c r="F32" s="5" t="s">
        <v>140</v>
      </c>
      <c r="G32" s="9">
        <v>1.44</v>
      </c>
      <c r="H32" s="8">
        <v>0</v>
      </c>
      <c r="I32" s="8">
        <v>0</v>
      </c>
      <c r="J32" s="8">
        <v>0</v>
      </c>
      <c r="K32" s="8">
        <v>0</v>
      </c>
      <c r="L32" s="9">
        <v>250.62</v>
      </c>
      <c r="M32" s="8">
        <v>100</v>
      </c>
      <c r="N32" s="8">
        <v>4864</v>
      </c>
      <c r="O32" s="8">
        <v>6</v>
      </c>
      <c r="P32" s="8">
        <v>5</v>
      </c>
      <c r="Q32" s="9">
        <v>118.92</v>
      </c>
      <c r="R32" s="8">
        <v>100</v>
      </c>
      <c r="S32" s="8">
        <v>5760</v>
      </c>
      <c r="T32" s="8">
        <v>6</v>
      </c>
      <c r="U32" s="8">
        <v>5</v>
      </c>
      <c r="V32" s="6">
        <f>L32-Q32</f>
        <v>131.69999999999999</v>
      </c>
    </row>
    <row r="33" spans="1:22">
      <c r="A33" s="7">
        <v>31</v>
      </c>
      <c r="B33" s="7" t="s">
        <v>141</v>
      </c>
      <c r="C33" s="5" t="s">
        <v>142</v>
      </c>
      <c r="D33" s="5" t="s">
        <v>143</v>
      </c>
      <c r="E33" s="7" t="s">
        <v>30</v>
      </c>
      <c r="F33" s="5" t="s">
        <v>144</v>
      </c>
      <c r="G33" s="9">
        <v>1.49</v>
      </c>
      <c r="H33" s="8">
        <v>0</v>
      </c>
      <c r="I33" s="8">
        <v>0</v>
      </c>
      <c r="J33" s="8">
        <v>0</v>
      </c>
      <c r="K33" s="8">
        <v>0</v>
      </c>
      <c r="L33" s="9">
        <v>189.28</v>
      </c>
      <c r="M33" s="8">
        <v>0</v>
      </c>
      <c r="N33" s="8">
        <v>4959</v>
      </c>
      <c r="O33" s="8">
        <v>0</v>
      </c>
      <c r="P33" s="8">
        <v>0</v>
      </c>
      <c r="Q33" s="9">
        <v>31.84</v>
      </c>
      <c r="R33" s="8">
        <v>0</v>
      </c>
      <c r="S33" s="8">
        <v>1244</v>
      </c>
      <c r="T33" s="8">
        <v>0</v>
      </c>
      <c r="U33" s="8">
        <v>0</v>
      </c>
      <c r="V33" s="6">
        <f>L33-Q33</f>
        <v>157.44</v>
      </c>
    </row>
    <row r="34" spans="1:22">
      <c r="A34" s="7">
        <v>32</v>
      </c>
      <c r="B34" s="7" t="s">
        <v>145</v>
      </c>
      <c r="C34" s="5" t="s">
        <v>146</v>
      </c>
      <c r="D34" s="5" t="s">
        <v>147</v>
      </c>
      <c r="E34" s="7" t="s">
        <v>35</v>
      </c>
      <c r="F34" s="5" t="s">
        <v>148</v>
      </c>
      <c r="G34" s="9">
        <v>1.09</v>
      </c>
      <c r="H34" s="8">
        <v>0</v>
      </c>
      <c r="I34" s="8">
        <v>0</v>
      </c>
      <c r="J34" s="8">
        <v>0</v>
      </c>
      <c r="K34" s="8">
        <v>0</v>
      </c>
      <c r="L34" s="9">
        <v>273.11000000000001</v>
      </c>
      <c r="M34" s="8">
        <v>100</v>
      </c>
      <c r="N34" s="8">
        <v>5920</v>
      </c>
      <c r="O34" s="8">
        <v>161</v>
      </c>
      <c r="P34" s="8">
        <v>160</v>
      </c>
      <c r="Q34" s="9">
        <v>135.58000000000001</v>
      </c>
      <c r="R34" s="8">
        <v>100</v>
      </c>
      <c r="S34" s="8">
        <v>6687</v>
      </c>
      <c r="T34" s="8">
        <v>161</v>
      </c>
      <c r="U34" s="8">
        <v>160</v>
      </c>
      <c r="V34" s="6">
        <f>L34-Q34</f>
        <v>137.53</v>
      </c>
    </row>
    <row r="35" spans="1:22">
      <c r="A35" s="7">
        <v>33</v>
      </c>
      <c r="B35" s="7" t="s">
        <v>149</v>
      </c>
      <c r="C35" s="5" t="s">
        <v>102</v>
      </c>
      <c r="D35" s="5" t="s">
        <v>150</v>
      </c>
      <c r="E35" s="7" t="s">
        <v>20</v>
      </c>
      <c r="F35" s="5" t="s">
        <v>151</v>
      </c>
      <c r="G35" s="9">
        <v>1.16</v>
      </c>
      <c r="H35" s="8">
        <v>0</v>
      </c>
      <c r="I35" s="8">
        <v>0</v>
      </c>
      <c r="J35" s="8">
        <v>0</v>
      </c>
      <c r="K35" s="8">
        <v>0</v>
      </c>
      <c r="L35" s="9">
        <v>279.94</v>
      </c>
      <c r="M35" s="8">
        <v>100</v>
      </c>
      <c r="N35" s="8">
        <v>4355</v>
      </c>
      <c r="O35" s="8">
        <v>1869</v>
      </c>
      <c r="P35" s="8">
        <v>1868</v>
      </c>
      <c r="Q35" s="9">
        <v>120.72</v>
      </c>
      <c r="R35" s="8">
        <v>100</v>
      </c>
      <c r="S35" s="8">
        <v>4580</v>
      </c>
      <c r="T35" s="8">
        <v>1869</v>
      </c>
      <c r="U35" s="8">
        <v>1868</v>
      </c>
      <c r="V35" s="6">
        <f>L35-Q35</f>
        <v>159.22</v>
      </c>
    </row>
    <row r="36" spans="1:22">
      <c r="A36" s="7">
        <v>34</v>
      </c>
      <c r="B36" s="7" t="s">
        <v>152</v>
      </c>
      <c r="C36" s="5" t="s">
        <v>153</v>
      </c>
      <c r="D36" s="5" t="s">
        <v>154</v>
      </c>
      <c r="E36" s="7" t="s">
        <v>25</v>
      </c>
      <c r="F36" s="5" t="s">
        <v>155</v>
      </c>
      <c r="G36" s="9">
        <v>1.32</v>
      </c>
      <c r="H36" s="8">
        <v>0</v>
      </c>
      <c r="I36" s="8">
        <v>0</v>
      </c>
      <c r="J36" s="8">
        <v>0</v>
      </c>
      <c r="K36" s="8">
        <v>0</v>
      </c>
      <c r="L36" s="9">
        <v>211.069999999999993</v>
      </c>
      <c r="M36" s="8">
        <v>100</v>
      </c>
      <c r="N36" s="8">
        <v>3586</v>
      </c>
      <c r="O36" s="8">
        <v>12</v>
      </c>
      <c r="P36" s="8">
        <v>11</v>
      </c>
      <c r="Q36" s="9">
        <v>70.40000000000001</v>
      </c>
      <c r="R36" s="8">
        <v>100</v>
      </c>
      <c r="S36" s="8">
        <v>2503</v>
      </c>
      <c r="T36" s="8">
        <v>12</v>
      </c>
      <c r="U36" s="8">
        <v>11</v>
      </c>
      <c r="V36" s="6">
        <f>L36-Q36</f>
        <v>140.66999999999999</v>
      </c>
    </row>
    <row r="37" spans="1:22">
      <c r="A37" s="7">
        <v>35</v>
      </c>
      <c r="B37" s="7" t="s">
        <v>156</v>
      </c>
      <c r="C37" s="5" t="s">
        <v>157</v>
      </c>
      <c r="D37" s="5" t="s">
        <v>158</v>
      </c>
      <c r="E37" s="7" t="s">
        <v>30</v>
      </c>
      <c r="F37" s="5" t="s">
        <v>159</v>
      </c>
      <c r="G37" s="9">
        <v>1.96</v>
      </c>
      <c r="H37" s="8">
        <v>0</v>
      </c>
      <c r="I37" s="8">
        <v>0</v>
      </c>
      <c r="J37" s="8">
        <v>0</v>
      </c>
      <c r="K37" s="8">
        <v>0</v>
      </c>
      <c r="L37" s="9">
        <v>117.20999999999999</v>
      </c>
      <c r="M37" s="8">
        <v>0</v>
      </c>
      <c r="N37" s="8">
        <v>3206</v>
      </c>
      <c r="O37" s="8">
        <v>0</v>
      </c>
      <c r="P37" s="8">
        <v>0</v>
      </c>
      <c r="Q37" s="9">
        <v>18.66</v>
      </c>
      <c r="R37" s="8">
        <v>0</v>
      </c>
      <c r="S37" s="8">
        <v>832</v>
      </c>
      <c r="T37" s="8">
        <v>0</v>
      </c>
      <c r="U37" s="8">
        <v>0</v>
      </c>
      <c r="V37" s="6">
        <f>L37-Q37</f>
        <v>98.55</v>
      </c>
    </row>
    <row r="38" spans="1:22">
      <c r="A38" s="7">
        <v>36</v>
      </c>
      <c r="B38" s="7" t="s">
        <v>160</v>
      </c>
      <c r="C38" s="5" t="s">
        <v>161</v>
      </c>
      <c r="D38" s="5" t="s">
        <v>162</v>
      </c>
      <c r="E38" s="7" t="s">
        <v>35</v>
      </c>
      <c r="F38" s="5" t="s">
        <v>163</v>
      </c>
      <c r="G38" s="9">
        <v>1.19</v>
      </c>
      <c r="H38" s="8">
        <v>0</v>
      </c>
      <c r="I38" s="8">
        <v>0</v>
      </c>
      <c r="J38" s="8">
        <v>0</v>
      </c>
      <c r="K38" s="8">
        <v>0</v>
      </c>
      <c r="L38" s="9">
        <v>284.11000000000001</v>
      </c>
      <c r="M38" s="8">
        <v>100</v>
      </c>
      <c r="N38" s="8">
        <v>6084</v>
      </c>
      <c r="O38" s="8">
        <v>33</v>
      </c>
      <c r="P38" s="8">
        <v>32</v>
      </c>
      <c r="Q38" s="9">
        <v>100.56999999999999</v>
      </c>
      <c r="R38" s="8">
        <v>100</v>
      </c>
      <c r="S38" s="8">
        <v>4522</v>
      </c>
      <c r="T38" s="8">
        <v>33</v>
      </c>
      <c r="U38" s="8">
        <v>32</v>
      </c>
      <c r="V38" s="6">
        <f>L38-Q38</f>
        <v>183.54000000000002</v>
      </c>
    </row>
    <row r="39" spans="1:22">
      <c r="A39" s="7">
        <v>37</v>
      </c>
      <c r="B39" s="7" t="s">
        <v>164</v>
      </c>
      <c r="C39" s="5" t="s">
        <v>165</v>
      </c>
      <c r="D39" s="5" t="s">
        <v>166</v>
      </c>
      <c r="E39" s="7" t="s">
        <v>20</v>
      </c>
      <c r="F39" s="5" t="s">
        <v>167</v>
      </c>
      <c r="G39" s="9">
        <v>1.38</v>
      </c>
      <c r="H39" s="8">
        <v>0</v>
      </c>
      <c r="I39" s="8">
        <v>0</v>
      </c>
      <c r="J39" s="8">
        <v>0</v>
      </c>
      <c r="K39" s="8">
        <v>0</v>
      </c>
      <c r="L39" s="9">
        <v>234.84</v>
      </c>
      <c r="M39" s="8">
        <v>100</v>
      </c>
      <c r="N39" s="8">
        <v>5980</v>
      </c>
      <c r="O39" s="8">
        <v>82</v>
      </c>
      <c r="P39" s="8">
        <v>81</v>
      </c>
      <c r="Q39" s="9">
        <v>100.12</v>
      </c>
      <c r="R39" s="8">
        <v>100</v>
      </c>
      <c r="S39" s="8">
        <v>4826</v>
      </c>
      <c r="T39" s="8">
        <v>82</v>
      </c>
      <c r="U39" s="8">
        <v>81</v>
      </c>
      <c r="V39" s="6">
        <f>L39-Q39</f>
        <v>134.72</v>
      </c>
    </row>
    <row r="40" spans="1:22">
      <c r="A40" s="7">
        <v>38</v>
      </c>
      <c r="B40" s="7" t="s">
        <v>168</v>
      </c>
      <c r="C40" s="5" t="s">
        <v>169</v>
      </c>
      <c r="D40" s="5" t="s">
        <v>170</v>
      </c>
      <c r="E40" s="7" t="s">
        <v>25</v>
      </c>
      <c r="F40" s="5" t="s">
        <v>171</v>
      </c>
      <c r="G40" s="9">
        <v>1.5</v>
      </c>
      <c r="H40" s="8">
        <v>0</v>
      </c>
      <c r="I40" s="8">
        <v>0</v>
      </c>
      <c r="J40" s="8">
        <v>0</v>
      </c>
      <c r="K40" s="8">
        <v>0</v>
      </c>
      <c r="L40" s="9">
        <v>196.53999999999999</v>
      </c>
      <c r="M40" s="8">
        <v>100</v>
      </c>
      <c r="N40" s="8">
        <v>2784</v>
      </c>
      <c r="O40" s="8">
        <v>1</v>
      </c>
      <c r="P40" s="8">
        <v>0</v>
      </c>
      <c r="Q40" s="9">
        <v>91.54000000000001</v>
      </c>
      <c r="R40" s="8">
        <v>100</v>
      </c>
      <c r="S40" s="8">
        <v>3912</v>
      </c>
      <c r="T40" s="8">
        <v>1</v>
      </c>
      <c r="U40" s="8">
        <v>0</v>
      </c>
      <c r="V40" s="6">
        <f>L40-Q40</f>
        <v>104.99999999999999</v>
      </c>
    </row>
    <row r="41" spans="1:22">
      <c r="A41" s="7">
        <v>39</v>
      </c>
      <c r="B41" s="7" t="s">
        <v>172</v>
      </c>
      <c r="C41" s="5" t="s">
        <v>173</v>
      </c>
      <c r="D41" s="5" t="s">
        <v>174</v>
      </c>
      <c r="E41" s="7" t="s">
        <v>30</v>
      </c>
      <c r="F41" s="5" t="s">
        <v>175</v>
      </c>
      <c r="G41" s="9">
        <v>1.08</v>
      </c>
      <c r="H41" s="8">
        <v>0</v>
      </c>
      <c r="I41" s="8">
        <v>0</v>
      </c>
      <c r="J41" s="8">
        <v>0</v>
      </c>
      <c r="K41" s="8">
        <v>0</v>
      </c>
      <c r="L41" s="9">
        <v>311.32999999999998</v>
      </c>
      <c r="M41" s="8">
        <v>100</v>
      </c>
      <c r="N41" s="8">
        <v>6056</v>
      </c>
      <c r="O41" s="8">
        <v>3</v>
      </c>
      <c r="P41" s="8">
        <v>2</v>
      </c>
      <c r="Q41" s="9">
        <v>83.17</v>
      </c>
      <c r="R41" s="8">
        <v>100</v>
      </c>
      <c r="S41" s="8">
        <v>3446</v>
      </c>
      <c r="T41" s="8">
        <v>3</v>
      </c>
      <c r="U41" s="8">
        <v>2</v>
      </c>
      <c r="V41" s="6">
        <f>L41-Q41</f>
        <v>228.15999999999997</v>
      </c>
    </row>
    <row r="42" spans="1:22">
      <c r="A42" s="7">
        <v>40</v>
      </c>
      <c r="B42" s="7" t="s">
        <v>176</v>
      </c>
      <c r="C42" s="5" t="s">
        <v>177</v>
      </c>
      <c r="D42" s="5" t="s">
        <v>178</v>
      </c>
      <c r="E42" s="7" t="s">
        <v>35</v>
      </c>
      <c r="F42" s="5" t="s">
        <v>179</v>
      </c>
      <c r="G42" s="9">
        <v>0.97</v>
      </c>
      <c r="H42" s="8">
        <v>0</v>
      </c>
      <c r="I42" s="8">
        <v>0</v>
      </c>
      <c r="J42" s="8">
        <v>0</v>
      </c>
      <c r="K42" s="8">
        <v>0</v>
      </c>
      <c r="L42" s="9">
        <v>227.75999999999999</v>
      </c>
      <c r="M42" s="8">
        <v>100</v>
      </c>
      <c r="N42" s="8">
        <v>5337</v>
      </c>
      <c r="O42" s="8">
        <v>271</v>
      </c>
      <c r="P42" s="8">
        <v>270</v>
      </c>
      <c r="Q42" s="9">
        <v>62.72</v>
      </c>
      <c r="R42" s="8">
        <v>100</v>
      </c>
      <c r="S42" s="8">
        <v>3007</v>
      </c>
      <c r="T42" s="8">
        <v>271</v>
      </c>
      <c r="U42" s="8">
        <v>270</v>
      </c>
      <c r="V42" s="6">
        <f>L42-Q42</f>
        <v>165.039999999999992</v>
      </c>
    </row>
    <row r="43" spans="1:22">
      <c r="A43" s="7">
        <v>41</v>
      </c>
      <c r="B43" s="7" t="s">
        <v>180</v>
      </c>
      <c r="C43" s="5" t="s">
        <v>130</v>
      </c>
      <c r="D43" s="5" t="s">
        <v>181</v>
      </c>
      <c r="E43" s="7" t="s">
        <v>20</v>
      </c>
      <c r="F43" s="5" t="s">
        <v>182</v>
      </c>
      <c r="G43" s="9">
        <v>1.31</v>
      </c>
      <c r="H43" s="8">
        <v>0</v>
      </c>
      <c r="I43" s="8">
        <v>0</v>
      </c>
      <c r="J43" s="8">
        <v>0</v>
      </c>
      <c r="K43" s="8">
        <v>0</v>
      </c>
      <c r="L43" s="9">
        <v>322.69</v>
      </c>
      <c r="M43" s="8">
        <v>100</v>
      </c>
      <c r="N43" s="8">
        <v>6412</v>
      </c>
      <c r="O43" s="8">
        <v>393</v>
      </c>
      <c r="P43" s="8">
        <v>392</v>
      </c>
      <c r="Q43" s="9">
        <v>101.030000000000001</v>
      </c>
      <c r="R43" s="8">
        <v>100</v>
      </c>
      <c r="S43" s="8">
        <v>4870</v>
      </c>
      <c r="T43" s="8">
        <v>393</v>
      </c>
      <c r="U43" s="8">
        <v>392</v>
      </c>
      <c r="V43" s="6">
        <f>L43-Q43</f>
        <v>221.66</v>
      </c>
    </row>
    <row r="44" spans="1:22">
      <c r="A44" s="7">
        <v>42</v>
      </c>
      <c r="B44" s="7" t="s">
        <v>183</v>
      </c>
      <c r="C44" s="5" t="s">
        <v>184</v>
      </c>
      <c r="D44" s="5" t="s">
        <v>185</v>
      </c>
      <c r="E44" s="7" t="s">
        <v>25</v>
      </c>
      <c r="F44" s="5" t="s">
        <v>186</v>
      </c>
      <c r="G44" s="9">
        <v>1.37</v>
      </c>
      <c r="H44" s="8">
        <v>0</v>
      </c>
      <c r="I44" s="8">
        <v>0</v>
      </c>
      <c r="J44" s="8">
        <v>0</v>
      </c>
      <c r="K44" s="8">
        <v>0</v>
      </c>
      <c r="L44" s="9">
        <v>229.37</v>
      </c>
      <c r="M44" s="8">
        <v>100</v>
      </c>
      <c r="N44" s="8">
        <v>4901</v>
      </c>
      <c r="O44" s="8">
        <v>16</v>
      </c>
      <c r="P44" s="8">
        <v>15</v>
      </c>
      <c r="Q44" s="9">
        <v>20.29</v>
      </c>
      <c r="R44" s="8">
        <v>100</v>
      </c>
      <c r="S44" s="8">
        <v>853</v>
      </c>
      <c r="T44" s="8">
        <v>16</v>
      </c>
      <c r="U44" s="8">
        <v>15</v>
      </c>
      <c r="V44" s="6">
        <f>L44-Q44</f>
        <v>209.080000000000013</v>
      </c>
    </row>
    <row r="45" spans="1:22">
      <c r="A45" s="7">
        <v>43</v>
      </c>
      <c r="B45" s="7" t="s">
        <v>187</v>
      </c>
      <c r="C45" s="5" t="s">
        <v>188</v>
      </c>
      <c r="D45" s="5" t="s">
        <v>189</v>
      </c>
      <c r="E45" s="7" t="s">
        <v>30</v>
      </c>
      <c r="F45" s="5" t="s">
        <v>190</v>
      </c>
      <c r="G45" s="9">
        <v>1.39</v>
      </c>
      <c r="H45" s="8">
        <v>0</v>
      </c>
      <c r="I45" s="8">
        <v>0</v>
      </c>
      <c r="J45" s="8">
        <v>0</v>
      </c>
      <c r="K45" s="8">
        <v>0</v>
      </c>
      <c r="L45" s="9">
        <v>342.50999999999999</v>
      </c>
      <c r="M45" s="8">
        <v>100</v>
      </c>
      <c r="N45" s="8">
        <v>6059</v>
      </c>
      <c r="O45" s="8">
        <v>27</v>
      </c>
      <c r="P45" s="8">
        <v>26</v>
      </c>
      <c r="Q45" s="9">
        <v>106.79000000000001</v>
      </c>
      <c r="R45" s="8">
        <v>100</v>
      </c>
      <c r="S45" s="8">
        <v>4449</v>
      </c>
      <c r="T45" s="8">
        <v>27</v>
      </c>
      <c r="U45" s="8">
        <v>26</v>
      </c>
      <c r="V45" s="6">
        <f>L45-Q45</f>
        <v>235.71999999999997</v>
      </c>
    </row>
    <row r="46" spans="1:22">
      <c r="A46" s="7">
        <v>44</v>
      </c>
      <c r="B46" s="7" t="s">
        <v>191</v>
      </c>
      <c r="C46" s="5" t="s">
        <v>106</v>
      </c>
      <c r="D46" s="5" t="s">
        <v>192</v>
      </c>
      <c r="E46" s="7" t="s">
        <v>35</v>
      </c>
      <c r="F46" s="5" t="s">
        <v>193</v>
      </c>
      <c r="G46" s="9">
        <v>1.58</v>
      </c>
      <c r="H46" s="8">
        <v>0</v>
      </c>
      <c r="I46" s="8">
        <v>0</v>
      </c>
      <c r="J46" s="8">
        <v>0</v>
      </c>
      <c r="K46" s="8">
        <v>0</v>
      </c>
      <c r="L46" s="9">
        <v>191.47</v>
      </c>
      <c r="M46" s="8">
        <v>100</v>
      </c>
      <c r="N46" s="8">
        <v>4060</v>
      </c>
      <c r="O46" s="8">
        <v>249</v>
      </c>
      <c r="P46" s="8">
        <v>248</v>
      </c>
      <c r="Q46" s="9">
        <v>102.3</v>
      </c>
      <c r="R46" s="8">
        <v>100</v>
      </c>
      <c r="S46" s="8">
        <v>4686</v>
      </c>
      <c r="T46" s="8">
        <v>249</v>
      </c>
      <c r="U46" s="8">
        <v>248</v>
      </c>
      <c r="V46" s="6">
        <f>L46-Q46</f>
        <v>89.17</v>
      </c>
    </row>
    <row r="47" spans="1:22">
      <c r="A47" s="7">
        <v>45</v>
      </c>
      <c r="B47" s="7" t="s">
        <v>194</v>
      </c>
      <c r="C47" s="5" t="s">
        <v>195</v>
      </c>
      <c r="D47" s="5" t="s">
        <v>196</v>
      </c>
      <c r="E47" s="7" t="s">
        <v>20</v>
      </c>
      <c r="F47" s="5" t="s">
        <v>197</v>
      </c>
      <c r="G47" s="9">
        <v>0.97</v>
      </c>
      <c r="H47" s="8">
        <v>0</v>
      </c>
      <c r="I47" s="8">
        <v>0</v>
      </c>
      <c r="J47" s="8">
        <v>0</v>
      </c>
      <c r="K47" s="8">
        <v>0</v>
      </c>
      <c r="L47" s="9">
        <v>330.24000000000001</v>
      </c>
      <c r="M47" s="8">
        <v>100</v>
      </c>
      <c r="N47" s="8">
        <v>6836</v>
      </c>
      <c r="O47" s="8">
        <v>235</v>
      </c>
      <c r="P47" s="8">
        <v>234</v>
      </c>
      <c r="Q47" s="9">
        <v>122.95</v>
      </c>
      <c r="R47" s="8">
        <v>100</v>
      </c>
      <c r="S47" s="8">
        <v>5944</v>
      </c>
      <c r="T47" s="8">
        <v>235</v>
      </c>
      <c r="U47" s="8">
        <v>234</v>
      </c>
      <c r="V47" s="6">
        <f>L47-Q47</f>
        <v>207.29000000000002</v>
      </c>
    </row>
    <row r="48" spans="1:22">
      <c r="A48" s="7">
        <v>46</v>
      </c>
      <c r="B48" s="7" t="s">
        <v>198</v>
      </c>
      <c r="C48" s="5" t="s">
        <v>199</v>
      </c>
      <c r="D48" s="5" t="s">
        <v>200</v>
      </c>
      <c r="E48" s="7" t="s">
        <v>25</v>
      </c>
      <c r="F48" s="5" t="s">
        <v>201</v>
      </c>
      <c r="G48" s="9">
        <v>1.35</v>
      </c>
      <c r="H48" s="8">
        <v>0</v>
      </c>
      <c r="I48" s="8">
        <v>0</v>
      </c>
      <c r="J48" s="8">
        <v>0</v>
      </c>
      <c r="K48" s="8">
        <v>0</v>
      </c>
      <c r="L48" s="9">
        <v>312.75</v>
      </c>
      <c r="M48" s="8">
        <v>100</v>
      </c>
      <c r="N48" s="8">
        <v>4338</v>
      </c>
      <c r="O48" s="8">
        <v>4</v>
      </c>
      <c r="P48" s="8">
        <v>3</v>
      </c>
      <c r="Q48" s="9">
        <v>18.22</v>
      </c>
      <c r="R48" s="8">
        <v>100</v>
      </c>
      <c r="S48" s="8">
        <v>715</v>
      </c>
      <c r="T48" s="8">
        <v>4</v>
      </c>
      <c r="U48" s="8">
        <v>3</v>
      </c>
      <c r="V48" s="6">
        <f>L48-Q48</f>
        <v>294.52999999999997</v>
      </c>
    </row>
    <row r="49" spans="1:22">
      <c r="A49" s="7">
        <v>47</v>
      </c>
      <c r="B49" s="7" t="s">
        <v>202</v>
      </c>
      <c r="C49" s="5" t="s">
        <v>177</v>
      </c>
      <c r="D49" s="5" t="s">
        <v>203</v>
      </c>
      <c r="E49" s="7" t="s">
        <v>30</v>
      </c>
      <c r="F49" s="5" t="s">
        <v>204</v>
      </c>
      <c r="G49" s="9">
        <v>1.51</v>
      </c>
      <c r="H49" s="8">
        <v>0</v>
      </c>
      <c r="I49" s="8">
        <v>0</v>
      </c>
      <c r="J49" s="8">
        <v>0</v>
      </c>
      <c r="K49" s="8">
        <v>0</v>
      </c>
      <c r="L49" s="9">
        <v>292.85000000000002</v>
      </c>
      <c r="M49" s="8">
        <v>100</v>
      </c>
      <c r="N49" s="8">
        <v>6673</v>
      </c>
      <c r="O49" s="8">
        <v>271</v>
      </c>
      <c r="P49" s="8">
        <v>270</v>
      </c>
      <c r="Q49" s="9">
        <v>138.0099999999999909</v>
      </c>
      <c r="R49" s="8">
        <v>100</v>
      </c>
      <c r="S49" s="8">
        <v>6565</v>
      </c>
      <c r="T49" s="8">
        <v>271</v>
      </c>
      <c r="U49" s="8">
        <v>270</v>
      </c>
      <c r="V49" s="6">
        <f>L49-Q49</f>
        <v>154.84000000000003</v>
      </c>
    </row>
    <row r="50" spans="1:22">
      <c r="A50" s="7">
        <v>48</v>
      </c>
      <c r="B50" s="7" t="s">
        <v>205</v>
      </c>
      <c r="C50" s="5" t="s">
        <v>206</v>
      </c>
      <c r="D50" s="5" t="s">
        <v>207</v>
      </c>
      <c r="E50" s="7" t="s">
        <v>35</v>
      </c>
      <c r="F50" s="5" t="s">
        <v>208</v>
      </c>
      <c r="G50" s="9">
        <v>1.53</v>
      </c>
      <c r="H50" s="8">
        <v>0</v>
      </c>
      <c r="I50" s="8">
        <v>0</v>
      </c>
      <c r="J50" s="8">
        <v>0</v>
      </c>
      <c r="K50" s="8">
        <v>0</v>
      </c>
      <c r="L50" s="9">
        <v>228.47</v>
      </c>
      <c r="M50" s="8">
        <v>100</v>
      </c>
      <c r="N50" s="8">
        <v>4500</v>
      </c>
      <c r="O50" s="8">
        <v>4</v>
      </c>
      <c r="P50" s="8">
        <v>3</v>
      </c>
      <c r="Q50" s="9">
        <v>94.17</v>
      </c>
      <c r="R50" s="8">
        <v>100</v>
      </c>
      <c r="S50" s="8">
        <v>4322</v>
      </c>
      <c r="T50" s="8">
        <v>4</v>
      </c>
      <c r="U50" s="8">
        <v>3</v>
      </c>
      <c r="V50" s="6">
        <f>L50-Q50</f>
        <v>134.30000000000001</v>
      </c>
    </row>
    <row r="51" spans="1:22">
      <c r="A51" s="7">
        <v>49</v>
      </c>
      <c r="B51" s="7" t="s">
        <v>209</v>
      </c>
      <c r="C51" s="5" t="s">
        <v>146</v>
      </c>
      <c r="D51" s="5" t="s">
        <v>210</v>
      </c>
      <c r="E51" s="7" t="s">
        <v>20</v>
      </c>
      <c r="F51" s="5" t="s">
        <v>211</v>
      </c>
      <c r="G51" s="9">
        <v>1.82</v>
      </c>
      <c r="H51" s="8">
        <v>0</v>
      </c>
      <c r="I51" s="8">
        <v>0</v>
      </c>
      <c r="J51" s="8">
        <v>0</v>
      </c>
      <c r="K51" s="8">
        <v>0</v>
      </c>
      <c r="L51" s="9">
        <v>249.99000000000001</v>
      </c>
      <c r="M51" s="8">
        <v>100</v>
      </c>
      <c r="N51" s="8">
        <v>5995</v>
      </c>
      <c r="O51" s="8">
        <v>161</v>
      </c>
      <c r="P51" s="8">
        <v>160</v>
      </c>
      <c r="Q51" s="9">
        <v>135.22</v>
      </c>
      <c r="R51" s="8">
        <v>100</v>
      </c>
      <c r="S51" s="8">
        <v>6655</v>
      </c>
      <c r="T51" s="8">
        <v>161</v>
      </c>
      <c r="U51" s="8">
        <v>160</v>
      </c>
      <c r="V51" s="6">
        <f>L51-Q51</f>
        <v>114.77000000000001</v>
      </c>
    </row>
    <row r="52" spans="1:22">
      <c r="A52" s="7">
        <v>50</v>
      </c>
      <c r="B52" s="7" t="s">
        <v>212</v>
      </c>
      <c r="C52" s="5" t="s">
        <v>110</v>
      </c>
      <c r="D52" s="5" t="s">
        <v>213</v>
      </c>
      <c r="E52" s="7" t="s">
        <v>25</v>
      </c>
      <c r="F52" s="5" t="s">
        <v>214</v>
      </c>
      <c r="G52" s="9">
        <v>1.08</v>
      </c>
      <c r="H52" s="8">
        <v>0</v>
      </c>
      <c r="I52" s="8">
        <v>0</v>
      </c>
      <c r="J52" s="8">
        <v>0</v>
      </c>
      <c r="K52" s="8">
        <v>0</v>
      </c>
      <c r="L52" s="9">
        <v>227.41999999999999</v>
      </c>
      <c r="M52" s="8">
        <v>100</v>
      </c>
      <c r="N52" s="8">
        <v>4826</v>
      </c>
      <c r="O52" s="8">
        <v>140</v>
      </c>
      <c r="P52" s="8">
        <v>139</v>
      </c>
      <c r="Q52" s="9">
        <v>76.52</v>
      </c>
      <c r="R52" s="8">
        <v>100</v>
      </c>
      <c r="S52" s="8">
        <v>3575</v>
      </c>
      <c r="T52" s="8">
        <v>140</v>
      </c>
      <c r="U52" s="8">
        <v>139</v>
      </c>
      <c r="V52" s="6">
        <f>L52-Q52</f>
        <v>150.89999999999998</v>
      </c>
    </row>
    <row r="53" spans="1:22">
      <c r="A53" s="7">
        <v>51</v>
      </c>
      <c r="B53" s="7" t="s">
        <v>215</v>
      </c>
      <c r="C53" s="5" t="s">
        <v>216</v>
      </c>
      <c r="D53" s="5" t="s">
        <v>217</v>
      </c>
      <c r="E53" s="7" t="s">
        <v>30</v>
      </c>
      <c r="F53" s="5" t="s">
        <v>218</v>
      </c>
      <c r="G53" s="9">
        <v>1.23</v>
      </c>
      <c r="H53" s="8">
        <v>0</v>
      </c>
      <c r="I53" s="8">
        <v>0</v>
      </c>
      <c r="J53" s="8">
        <v>0</v>
      </c>
      <c r="K53" s="8">
        <v>0</v>
      </c>
      <c r="L53" s="9">
        <v>290.81</v>
      </c>
      <c r="M53" s="8">
        <v>100</v>
      </c>
      <c r="N53" s="8">
        <v>5775</v>
      </c>
      <c r="O53" s="8">
        <v>2</v>
      </c>
      <c r="P53" s="8">
        <v>1</v>
      </c>
      <c r="Q53" s="9">
        <v>88.73</v>
      </c>
      <c r="R53" s="8">
        <v>100</v>
      </c>
      <c r="S53" s="8">
        <v>3797</v>
      </c>
      <c r="T53" s="8">
        <v>2</v>
      </c>
      <c r="U53" s="8">
        <v>1</v>
      </c>
      <c r="V53" s="6">
        <f>L53-Q53</f>
        <v>202.079999999999984</v>
      </c>
    </row>
    <row r="54" spans="1:22">
      <c r="A54" s="7">
        <v>52</v>
      </c>
      <c r="B54" s="7" t="s">
        <v>219</v>
      </c>
      <c r="C54" s="5" t="s">
        <v>220</v>
      </c>
      <c r="D54" s="5" t="s">
        <v>221</v>
      </c>
      <c r="E54" s="7" t="s">
        <v>35</v>
      </c>
      <c r="F54" s="5" t="s">
        <v>222</v>
      </c>
      <c r="G54" s="9">
        <v>1.15</v>
      </c>
      <c r="H54" s="8">
        <v>0</v>
      </c>
      <c r="I54" s="8">
        <v>0</v>
      </c>
      <c r="J54" s="8">
        <v>0</v>
      </c>
      <c r="K54" s="8">
        <v>0</v>
      </c>
      <c r="L54" s="9">
        <v>175.18000000000001</v>
      </c>
      <c r="M54" s="8">
        <v>100</v>
      </c>
      <c r="N54" s="8">
        <v>3390</v>
      </c>
      <c r="O54" s="8">
        <v>168</v>
      </c>
      <c r="P54" s="8">
        <v>167</v>
      </c>
      <c r="Q54" s="9">
        <v>69.030000000000001</v>
      </c>
      <c r="R54" s="8">
        <v>100</v>
      </c>
      <c r="S54" s="8">
        <v>3127</v>
      </c>
      <c r="T54" s="8">
        <v>168</v>
      </c>
      <c r="U54" s="8">
        <v>167</v>
      </c>
      <c r="V54" s="6">
        <f>L54-Q54</f>
        <v>106.15000000000001</v>
      </c>
    </row>
    <row r="55" spans="1:22">
      <c r="A55" s="7">
        <v>53</v>
      </c>
      <c r="B55" s="7" t="s">
        <v>223</v>
      </c>
      <c r="C55" s="5" t="s">
        <v>224</v>
      </c>
      <c r="D55" s="5" t="s">
        <v>225</v>
      </c>
      <c r="E55" s="7" t="s">
        <v>20</v>
      </c>
      <c r="F55" s="5" t="s">
        <v>226</v>
      </c>
      <c r="G55" s="9">
        <v>1.29</v>
      </c>
      <c r="H55" s="8">
        <v>0</v>
      </c>
      <c r="I55" s="8">
        <v>0</v>
      </c>
      <c r="J55" s="8">
        <v>0</v>
      </c>
      <c r="K55" s="8">
        <v>0</v>
      </c>
      <c r="L55" s="9">
        <v>159.22999999999999</v>
      </c>
      <c r="M55" s="8">
        <v>100</v>
      </c>
      <c r="N55" s="8">
        <v>3855</v>
      </c>
      <c r="O55" s="8">
        <v>40</v>
      </c>
      <c r="P55" s="8">
        <v>39</v>
      </c>
      <c r="Q55" s="9">
        <v>75.59999999999999</v>
      </c>
      <c r="R55" s="8">
        <v>100</v>
      </c>
      <c r="S55" s="8">
        <v>3101</v>
      </c>
      <c r="T55" s="8">
        <v>40</v>
      </c>
      <c r="U55" s="8">
        <v>39</v>
      </c>
      <c r="V55" s="6">
        <f>L55-Q55</f>
        <v>83.63</v>
      </c>
    </row>
    <row r="56" spans="1:22">
      <c r="A56" s="7">
        <v>54</v>
      </c>
      <c r="B56" s="7" t="s">
        <v>227</v>
      </c>
      <c r="C56" s="5" t="s">
        <v>228</v>
      </c>
      <c r="D56" s="5" t="s">
        <v>229</v>
      </c>
      <c r="E56" s="7" t="s">
        <v>25</v>
      </c>
      <c r="F56" s="5" t="s">
        <v>230</v>
      </c>
      <c r="G56" s="9">
        <v>1.76</v>
      </c>
      <c r="H56" s="8">
        <v>0</v>
      </c>
      <c r="I56" s="8">
        <v>0</v>
      </c>
      <c r="J56" s="8">
        <v>0</v>
      </c>
      <c r="K56" s="8">
        <v>0</v>
      </c>
      <c r="L56" s="9">
        <v>279.25</v>
      </c>
      <c r="M56" s="8">
        <v>100</v>
      </c>
      <c r="N56" s="8">
        <v>4185</v>
      </c>
      <c r="O56" s="8">
        <v>24</v>
      </c>
      <c r="P56" s="8">
        <v>23</v>
      </c>
      <c r="Q56" s="9">
        <v>10.98</v>
      </c>
      <c r="R56" s="8">
        <v>100</v>
      </c>
      <c r="S56" s="8">
        <v>395</v>
      </c>
      <c r="T56" s="8">
        <v>24</v>
      </c>
      <c r="U56" s="8">
        <v>23</v>
      </c>
      <c r="V56" s="6">
        <f>L56-Q56</f>
        <v>268.26999999999998</v>
      </c>
    </row>
    <row r="57" spans="1:22">
      <c r="A57" s="7">
        <v>55</v>
      </c>
      <c r="B57" s="7" t="s">
        <v>231</v>
      </c>
      <c r="C57" s="5" t="s">
        <v>232</v>
      </c>
      <c r="D57" s="5" t="s">
        <v>233</v>
      </c>
      <c r="E57" s="7" t="s">
        <v>30</v>
      </c>
      <c r="F57" s="5" t="s">
        <v>234</v>
      </c>
      <c r="G57" s="9">
        <v>0.85</v>
      </c>
      <c r="H57" s="8">
        <v>0</v>
      </c>
      <c r="I57" s="8">
        <v>0</v>
      </c>
      <c r="J57" s="8">
        <v>0</v>
      </c>
      <c r="K57" s="8">
        <v>0</v>
      </c>
      <c r="L57" s="9">
        <v>282.5</v>
      </c>
      <c r="M57" s="8">
        <v>100</v>
      </c>
      <c r="N57" s="8">
        <v>6164</v>
      </c>
      <c r="O57" s="8">
        <v>2</v>
      </c>
      <c r="P57" s="8">
        <v>1</v>
      </c>
      <c r="Q57" s="9">
        <v>94.69</v>
      </c>
      <c r="R57" s="8">
        <v>100</v>
      </c>
      <c r="S57" s="8">
        <v>4290</v>
      </c>
      <c r="T57" s="8">
        <v>2</v>
      </c>
      <c r="U57" s="8">
        <v>1</v>
      </c>
      <c r="V57" s="6">
        <f>L57-Q57</f>
        <v>187.81</v>
      </c>
    </row>
    <row r="58" spans="1:22">
      <c r="A58" s="7">
        <v>56</v>
      </c>
      <c r="B58" s="7" t="s">
        <v>235</v>
      </c>
      <c r="C58" s="5" t="s">
        <v>236</v>
      </c>
      <c r="D58" s="5" t="s">
        <v>237</v>
      </c>
      <c r="E58" s="7" t="s">
        <v>35</v>
      </c>
      <c r="F58" s="5" t="s">
        <v>238</v>
      </c>
      <c r="G58" s="9">
        <v>1.74</v>
      </c>
      <c r="H58" s="8">
        <v>0</v>
      </c>
      <c r="I58" s="8">
        <v>0</v>
      </c>
      <c r="J58" s="8">
        <v>0</v>
      </c>
      <c r="K58" s="8">
        <v>0</v>
      </c>
      <c r="L58" s="9">
        <v>250.13999999999999</v>
      </c>
      <c r="M58" s="8">
        <v>0</v>
      </c>
      <c r="N58" s="8">
        <v>6529</v>
      </c>
      <c r="O58" s="8">
        <v>0</v>
      </c>
      <c r="P58" s="8">
        <v>0</v>
      </c>
      <c r="Q58" s="9">
        <v>61.77</v>
      </c>
      <c r="R58" s="8">
        <v>0</v>
      </c>
      <c r="S58" s="8">
        <v>2990</v>
      </c>
      <c r="T58" s="8">
        <v>0</v>
      </c>
      <c r="U58" s="8">
        <v>0</v>
      </c>
      <c r="V58" s="6">
        <f>L58-Q58</f>
        <v>188.36999999999998</v>
      </c>
    </row>
    <row r="59" spans="1:22">
      <c r="A59" s="7">
        <v>57</v>
      </c>
      <c r="B59" s="7" t="s">
        <v>239</v>
      </c>
      <c r="C59" s="5" t="s">
        <v>240</v>
      </c>
      <c r="D59" s="5" t="s">
        <v>241</v>
      </c>
      <c r="E59" s="7" t="s">
        <v>20</v>
      </c>
      <c r="F59" s="5" t="s">
        <v>242</v>
      </c>
      <c r="G59" s="9">
        <v>1.26</v>
      </c>
      <c r="H59" s="8">
        <v>0</v>
      </c>
      <c r="I59" s="8">
        <v>0</v>
      </c>
      <c r="J59" s="8">
        <v>0</v>
      </c>
      <c r="K59" s="8">
        <v>0</v>
      </c>
      <c r="L59" s="9">
        <v>232.69999999999999</v>
      </c>
      <c r="M59" s="8">
        <v>100</v>
      </c>
      <c r="N59" s="8">
        <v>6096</v>
      </c>
      <c r="O59" s="8">
        <v>29</v>
      </c>
      <c r="P59" s="8">
        <v>28</v>
      </c>
      <c r="Q59" s="9">
        <v>124.95</v>
      </c>
      <c r="R59" s="8">
        <v>100</v>
      </c>
      <c r="S59" s="8">
        <v>6216</v>
      </c>
      <c r="T59" s="8">
        <v>29</v>
      </c>
      <c r="U59" s="8">
        <v>28</v>
      </c>
      <c r="V59" s="6">
        <f>L59-Q59</f>
        <v>107.74999999999999</v>
      </c>
    </row>
    <row r="60" spans="1:22">
      <c r="A60" s="7">
        <v>58</v>
      </c>
      <c r="B60" s="7" t="s">
        <v>243</v>
      </c>
      <c r="C60" s="5" t="s">
        <v>244</v>
      </c>
      <c r="D60" s="5" t="s">
        <v>245</v>
      </c>
      <c r="E60" s="7" t="s">
        <v>25</v>
      </c>
      <c r="F60" s="5" t="s">
        <v>246</v>
      </c>
      <c r="G60" s="9">
        <v>1.37</v>
      </c>
      <c r="H60" s="8">
        <v>0</v>
      </c>
      <c r="I60" s="8">
        <v>0</v>
      </c>
      <c r="J60" s="8">
        <v>0</v>
      </c>
      <c r="K60" s="8">
        <v>0</v>
      </c>
      <c r="L60" s="9">
        <v>185.86000000000001</v>
      </c>
      <c r="M60" s="8">
        <v>100</v>
      </c>
      <c r="N60" s="8">
        <v>4106</v>
      </c>
      <c r="O60" s="8">
        <v>56</v>
      </c>
      <c r="P60" s="8">
        <v>55</v>
      </c>
      <c r="Q60" s="9">
        <v>47.030000000000001</v>
      </c>
      <c r="R60" s="8">
        <v>100</v>
      </c>
      <c r="S60" s="8">
        <v>2174</v>
      </c>
      <c r="T60" s="8">
        <v>56</v>
      </c>
      <c r="U60" s="8">
        <v>55</v>
      </c>
      <c r="V60" s="6">
        <f>L60-Q60</f>
        <v>138.83000000000001</v>
      </c>
    </row>
    <row r="61" spans="1:22">
      <c r="A61" s="7">
        <v>59</v>
      </c>
      <c r="B61" s="7" t="s">
        <v>247</v>
      </c>
      <c r="C61" s="5" t="s">
        <v>126</v>
      </c>
      <c r="D61" s="5" t="s">
        <v>248</v>
      </c>
      <c r="E61" s="7" t="s">
        <v>30</v>
      </c>
      <c r="F61" s="5" t="s">
        <v>249</v>
      </c>
      <c r="G61" s="9">
        <v>1.01</v>
      </c>
      <c r="H61" s="8">
        <v>0</v>
      </c>
      <c r="I61" s="8">
        <v>0</v>
      </c>
      <c r="J61" s="8">
        <v>0</v>
      </c>
      <c r="K61" s="8">
        <v>0</v>
      </c>
      <c r="L61" s="9">
        <v>236.28</v>
      </c>
      <c r="M61" s="8">
        <v>100</v>
      </c>
      <c r="N61" s="8">
        <v>4951</v>
      </c>
      <c r="O61" s="8">
        <v>148</v>
      </c>
      <c r="P61" s="8">
        <v>147</v>
      </c>
      <c r="Q61" s="9">
        <v>30.74</v>
      </c>
      <c r="R61" s="8">
        <v>0</v>
      </c>
      <c r="S61" s="8">
        <v>1346</v>
      </c>
      <c r="T61" s="8">
        <v>67</v>
      </c>
      <c r="U61" s="8">
        <v>67</v>
      </c>
      <c r="V61" s="6">
        <f>L61-Q61</f>
        <v>205.53999999999999</v>
      </c>
    </row>
    <row r="62" spans="1:22">
      <c r="A62" s="7">
        <v>60</v>
      </c>
      <c r="B62" s="7" t="s">
        <v>250</v>
      </c>
      <c r="C62" s="5" t="s">
        <v>126</v>
      </c>
      <c r="D62" s="5" t="s">
        <v>251</v>
      </c>
      <c r="E62" s="7" t="s">
        <v>35</v>
      </c>
      <c r="F62" s="5" t="s">
        <v>252</v>
      </c>
      <c r="G62" s="9">
        <v>0.99</v>
      </c>
      <c r="H62" s="8">
        <v>0</v>
      </c>
      <c r="I62" s="8">
        <v>0</v>
      </c>
      <c r="J62" s="8">
        <v>0</v>
      </c>
      <c r="K62" s="8">
        <v>0</v>
      </c>
      <c r="L62" s="9">
        <v>207.40000000000001</v>
      </c>
      <c r="M62" s="8">
        <v>100</v>
      </c>
      <c r="N62" s="8">
        <v>4848</v>
      </c>
      <c r="O62" s="8">
        <v>137</v>
      </c>
      <c r="P62" s="8">
        <v>136</v>
      </c>
      <c r="Q62" s="9">
        <v>21.56</v>
      </c>
      <c r="R62" s="8">
        <v>0</v>
      </c>
      <c r="S62" s="8">
        <v>861</v>
      </c>
      <c r="T62" s="8">
        <v>3</v>
      </c>
      <c r="U62" s="8">
        <v>3</v>
      </c>
      <c r="V62" s="6">
        <f>L62-Q62</f>
        <v>185.84</v>
      </c>
    </row>
    <row r="63" spans="1:22">
      <c r="A63" s="7">
        <v>61</v>
      </c>
      <c r="B63" s="7" t="s">
        <v>253</v>
      </c>
      <c r="C63" s="5" t="s">
        <v>254</v>
      </c>
      <c r="D63" s="5" t="s">
        <v>255</v>
      </c>
      <c r="E63" s="7" t="s">
        <v>20</v>
      </c>
      <c r="F63" s="5" t="s">
        <v>256</v>
      </c>
      <c r="G63" s="9">
        <v>1.48</v>
      </c>
      <c r="H63" s="8">
        <v>0</v>
      </c>
      <c r="I63" s="8">
        <v>0</v>
      </c>
      <c r="J63" s="8">
        <v>0</v>
      </c>
      <c r="K63" s="8">
        <v>0</v>
      </c>
      <c r="L63" s="9">
        <v>282.069999999999993</v>
      </c>
      <c r="M63" s="8">
        <v>100</v>
      </c>
      <c r="N63" s="8">
        <v>6092</v>
      </c>
      <c r="O63" s="8">
        <v>29</v>
      </c>
      <c r="P63" s="8">
        <v>28</v>
      </c>
      <c r="Q63" s="9">
        <v>51.28</v>
      </c>
      <c r="R63" s="8">
        <v>100</v>
      </c>
      <c r="S63" s="8">
        <v>2395</v>
      </c>
      <c r="T63" s="8">
        <v>29</v>
      </c>
      <c r="U63" s="8">
        <v>28</v>
      </c>
      <c r="V63" s="6">
        <f>L63-Q63</f>
        <v>230.78999999999999</v>
      </c>
    </row>
    <row r="64" spans="1:22">
      <c r="A64" s="7">
        <v>62</v>
      </c>
      <c r="B64" s="7" t="s">
        <v>257</v>
      </c>
      <c r="C64" s="5" t="s">
        <v>258</v>
      </c>
      <c r="D64" s="5" t="s">
        <v>259</v>
      </c>
      <c r="E64" s="7" t="s">
        <v>25</v>
      </c>
      <c r="F64" s="5" t="s">
        <v>260</v>
      </c>
      <c r="G64" s="9">
        <v>1.81</v>
      </c>
      <c r="H64" s="8">
        <v>0</v>
      </c>
      <c r="I64" s="8">
        <v>0</v>
      </c>
      <c r="J64" s="8">
        <v>0</v>
      </c>
      <c r="K64" s="8">
        <v>0</v>
      </c>
      <c r="L64" s="9">
        <v>252.94999999999999</v>
      </c>
      <c r="M64" s="8">
        <v>100</v>
      </c>
      <c r="N64" s="8">
        <v>3610</v>
      </c>
      <c r="O64" s="8">
        <v>15</v>
      </c>
      <c r="P64" s="8">
        <v>14</v>
      </c>
      <c r="Q64" s="9">
        <v>62.15</v>
      </c>
      <c r="R64" s="8">
        <v>100</v>
      </c>
      <c r="S64" s="8">
        <v>2514</v>
      </c>
      <c r="T64" s="8">
        <v>15</v>
      </c>
      <c r="U64" s="8">
        <v>14</v>
      </c>
      <c r="V64" s="6">
        <f>L64-Q64</f>
        <v>190.79999999999998</v>
      </c>
    </row>
    <row r="65" spans="1:22">
      <c r="A65" s="7">
        <v>63</v>
      </c>
      <c r="B65" s="7" t="s">
        <v>261</v>
      </c>
      <c r="C65" s="5" t="s">
        <v>262</v>
      </c>
      <c r="D65" s="5" t="s">
        <v>263</v>
      </c>
      <c r="E65" s="7" t="s">
        <v>30</v>
      </c>
      <c r="F65" s="5" t="s">
        <v>264</v>
      </c>
      <c r="G65" s="9">
        <v>1.19</v>
      </c>
      <c r="H65" s="8">
        <v>0</v>
      </c>
      <c r="I65" s="8">
        <v>0</v>
      </c>
      <c r="J65" s="8">
        <v>0</v>
      </c>
      <c r="K65" s="8">
        <v>0</v>
      </c>
      <c r="L65" s="9">
        <v>339.75</v>
      </c>
      <c r="M65" s="8">
        <v>100</v>
      </c>
      <c r="N65" s="8">
        <v>6014</v>
      </c>
      <c r="O65" s="8">
        <v>6</v>
      </c>
      <c r="P65" s="8">
        <v>5</v>
      </c>
      <c r="Q65" s="9">
        <v>65.39</v>
      </c>
      <c r="R65" s="8">
        <v>100</v>
      </c>
      <c r="S65" s="8">
        <v>2721</v>
      </c>
      <c r="T65" s="8">
        <v>6</v>
      </c>
      <c r="U65" s="8">
        <v>5</v>
      </c>
      <c r="V65" s="6">
        <f>L65-Q65</f>
        <v>274.36000000000001</v>
      </c>
    </row>
    <row r="66" spans="1:22">
      <c r="A66" s="7">
        <v>64</v>
      </c>
      <c r="B66" s="7" t="s">
        <v>265</v>
      </c>
      <c r="C66" s="5" t="s">
        <v>266</v>
      </c>
      <c r="D66" s="5" t="s">
        <v>267</v>
      </c>
      <c r="E66" s="7" t="s">
        <v>35</v>
      </c>
      <c r="F66" s="5" t="s">
        <v>268</v>
      </c>
      <c r="G66" s="9">
        <v>1.41</v>
      </c>
      <c r="H66" s="8">
        <v>0</v>
      </c>
      <c r="I66" s="8">
        <v>0</v>
      </c>
      <c r="J66" s="8">
        <v>0</v>
      </c>
      <c r="K66" s="8">
        <v>0</v>
      </c>
      <c r="L66" s="9">
        <v>248.0</v>
      </c>
      <c r="M66" s="8">
        <v>100</v>
      </c>
      <c r="N66" s="8">
        <v>3559</v>
      </c>
      <c r="O66" s="8">
        <v>1</v>
      </c>
      <c r="P66" s="8">
        <v>0</v>
      </c>
      <c r="Q66" s="9">
        <v>115.23999999999999</v>
      </c>
      <c r="R66" s="8">
        <v>100</v>
      </c>
      <c r="S66" s="8">
        <v>4807</v>
      </c>
      <c r="T66" s="8">
        <v>1</v>
      </c>
      <c r="U66" s="8">
        <v>0</v>
      </c>
      <c r="V66" s="6">
        <f>L66-Q66</f>
        <v>132.75999999999999</v>
      </c>
    </row>
    <row r="67" spans="1:22">
      <c r="A67" s="7">
        <v>65</v>
      </c>
      <c r="B67" s="7" t="s">
        <v>269</v>
      </c>
      <c r="C67" s="5" t="s">
        <v>270</v>
      </c>
      <c r="D67" s="5" t="s">
        <v>271</v>
      </c>
      <c r="E67" s="7" t="s">
        <v>20</v>
      </c>
      <c r="F67" s="5" t="s">
        <v>272</v>
      </c>
      <c r="G67" s="9">
        <v>1.83</v>
      </c>
      <c r="H67" s="8">
        <v>0</v>
      </c>
      <c r="I67" s="8">
        <v>0</v>
      </c>
      <c r="J67" s="8">
        <v>0</v>
      </c>
      <c r="K67" s="8">
        <v>0</v>
      </c>
      <c r="L67" s="9">
        <v>382.69999999999999</v>
      </c>
      <c r="M67" s="8">
        <v>100</v>
      </c>
      <c r="N67" s="8">
        <v>7169</v>
      </c>
      <c r="O67" s="8">
        <v>19</v>
      </c>
      <c r="P67" s="8">
        <v>18</v>
      </c>
      <c r="Q67" s="9">
        <v>130.34</v>
      </c>
      <c r="R67" s="8">
        <v>100</v>
      </c>
      <c r="S67" s="8">
        <v>5714</v>
      </c>
      <c r="T67" s="8">
        <v>19</v>
      </c>
      <c r="U67" s="8">
        <v>18</v>
      </c>
      <c r="V67" s="6">
        <f>L67-Q67</f>
        <v>252.35999999999999</v>
      </c>
    </row>
    <row r="68" spans="1:22">
      <c r="A68" s="7">
        <v>66</v>
      </c>
      <c r="B68" s="7" t="s">
        <v>273</v>
      </c>
      <c r="C68" s="5" t="s">
        <v>90</v>
      </c>
      <c r="D68" s="5" t="s">
        <v>274</v>
      </c>
      <c r="E68" s="7" t="s">
        <v>25</v>
      </c>
      <c r="F68" s="5" t="s">
        <v>275</v>
      </c>
      <c r="G68" s="9">
        <v>1.25</v>
      </c>
      <c r="H68" s="8">
        <v>0</v>
      </c>
      <c r="I68" s="8">
        <v>0</v>
      </c>
      <c r="J68" s="8">
        <v>0</v>
      </c>
      <c r="K68" s="8">
        <v>0</v>
      </c>
      <c r="L68" s="9">
        <v>341.19</v>
      </c>
      <c r="M68" s="8">
        <v>100</v>
      </c>
      <c r="N68" s="8">
        <v>5978</v>
      </c>
      <c r="O68" s="8">
        <v>315</v>
      </c>
      <c r="P68" s="8">
        <v>314</v>
      </c>
      <c r="Q68" s="9">
        <v>138.13999999999999</v>
      </c>
      <c r="R68" s="8">
        <v>100</v>
      </c>
      <c r="S68" s="8">
        <v>5599</v>
      </c>
      <c r="T68" s="8">
        <v>315</v>
      </c>
      <c r="U68" s="8">
        <v>314</v>
      </c>
      <c r="V68" s="6">
        <f>L68-Q68</f>
        <v>203.050000000000011</v>
      </c>
    </row>
    <row r="69" spans="1:22">
      <c r="A69" s="7">
        <v>67</v>
      </c>
      <c r="B69" s="7" t="s">
        <v>276</v>
      </c>
      <c r="C69" s="5" t="s">
        <v>277</v>
      </c>
      <c r="D69" s="5" t="s">
        <v>278</v>
      </c>
      <c r="E69" s="7" t="s">
        <v>30</v>
      </c>
      <c r="F69" s="5" t="s">
        <v>279</v>
      </c>
      <c r="G69" s="9">
        <v>1.23</v>
      </c>
      <c r="H69" s="8">
        <v>0</v>
      </c>
      <c r="I69" s="8">
        <v>0</v>
      </c>
      <c r="J69" s="8">
        <v>0</v>
      </c>
      <c r="K69" s="8">
        <v>0</v>
      </c>
      <c r="L69" s="9">
        <v>324.32999999999998</v>
      </c>
      <c r="M69" s="8">
        <v>100</v>
      </c>
      <c r="N69" s="8">
        <v>7070</v>
      </c>
      <c r="O69" s="8">
        <v>3</v>
      </c>
      <c r="P69" s="8">
        <v>2</v>
      </c>
      <c r="Q69" s="9">
        <v>173.38999999999999</v>
      </c>
      <c r="R69" s="8">
        <v>100</v>
      </c>
      <c r="S69" s="8">
        <v>8160</v>
      </c>
      <c r="T69" s="8">
        <v>3</v>
      </c>
      <c r="U69" s="8">
        <v>2</v>
      </c>
      <c r="V69" s="6">
        <f>L69-Q69</f>
        <v>150.94</v>
      </c>
    </row>
    <row r="70" spans="1:22">
      <c r="A70" s="7">
        <v>68</v>
      </c>
      <c r="B70" s="7" t="s">
        <v>280</v>
      </c>
      <c r="C70" s="5" t="s">
        <v>28</v>
      </c>
      <c r="D70" s="5" t="s">
        <v>281</v>
      </c>
      <c r="E70" s="7" t="s">
        <v>35</v>
      </c>
      <c r="F70" s="5" t="s">
        <v>282</v>
      </c>
      <c r="G70" s="9">
        <v>1.51</v>
      </c>
      <c r="H70" s="8">
        <v>0</v>
      </c>
      <c r="I70" s="8">
        <v>0</v>
      </c>
      <c r="J70" s="8">
        <v>0</v>
      </c>
      <c r="K70" s="8">
        <v>0</v>
      </c>
      <c r="L70" s="9">
        <v>222.28</v>
      </c>
      <c r="M70" s="8">
        <v>100</v>
      </c>
      <c r="N70" s="8">
        <v>4566</v>
      </c>
      <c r="O70" s="8">
        <v>479</v>
      </c>
      <c r="P70" s="8">
        <v>478</v>
      </c>
      <c r="Q70" s="9">
        <v>93.34</v>
      </c>
      <c r="R70" s="8">
        <v>100</v>
      </c>
      <c r="S70" s="8">
        <v>4458</v>
      </c>
      <c r="T70" s="8">
        <v>479</v>
      </c>
      <c r="U70" s="8">
        <v>478</v>
      </c>
      <c r="V70" s="6">
        <f>L70-Q70</f>
        <v>128.94</v>
      </c>
    </row>
    <row r="71" spans="1:22">
      <c r="A71" s="7">
        <v>69</v>
      </c>
      <c r="B71" s="7" t="s">
        <v>283</v>
      </c>
      <c r="C71" s="5" t="s">
        <v>284</v>
      </c>
      <c r="D71" s="5" t="s">
        <v>285</v>
      </c>
      <c r="E71" s="7" t="s">
        <v>20</v>
      </c>
      <c r="F71" s="5" t="s">
        <v>286</v>
      </c>
      <c r="G71" s="9">
        <v>1.48</v>
      </c>
      <c r="H71" s="8">
        <v>0</v>
      </c>
      <c r="I71" s="8">
        <v>0</v>
      </c>
      <c r="J71" s="8">
        <v>0</v>
      </c>
      <c r="K71" s="8">
        <v>0</v>
      </c>
      <c r="L71" s="9">
        <v>269.45999999999998</v>
      </c>
      <c r="M71" s="8">
        <v>100</v>
      </c>
      <c r="N71" s="8">
        <v>6091</v>
      </c>
      <c r="O71" s="8">
        <v>4</v>
      </c>
      <c r="P71" s="8">
        <v>3</v>
      </c>
      <c r="Q71" s="9">
        <v>56.24</v>
      </c>
      <c r="R71" s="8">
        <v>100</v>
      </c>
      <c r="S71" s="8">
        <v>2473</v>
      </c>
      <c r="T71" s="8">
        <v>4</v>
      </c>
      <c r="U71" s="8">
        <v>3</v>
      </c>
      <c r="V71" s="6">
        <f>L71-Q71</f>
        <v>213.21999999999997</v>
      </c>
    </row>
    <row r="72" spans="1:22">
      <c r="A72" s="7">
        <v>70</v>
      </c>
      <c r="B72" s="7" t="s">
        <v>287</v>
      </c>
      <c r="C72" s="5" t="s">
        <v>288</v>
      </c>
      <c r="D72" s="5" t="s">
        <v>289</v>
      </c>
      <c r="E72" s="7" t="s">
        <v>25</v>
      </c>
      <c r="F72" s="5" t="s">
        <v>290</v>
      </c>
      <c r="G72" s="9">
        <v>1.66</v>
      </c>
      <c r="H72" s="8">
        <v>0</v>
      </c>
      <c r="I72" s="8">
        <v>0</v>
      </c>
      <c r="J72" s="8">
        <v>0</v>
      </c>
      <c r="K72" s="8">
        <v>0</v>
      </c>
      <c r="L72" s="9">
        <v>293.37</v>
      </c>
      <c r="M72" s="8">
        <v>100</v>
      </c>
      <c r="N72" s="8">
        <v>4773</v>
      </c>
      <c r="O72" s="8">
        <v>2284</v>
      </c>
      <c r="P72" s="8">
        <v>2283</v>
      </c>
      <c r="Q72" s="9">
        <v>86.19</v>
      </c>
      <c r="R72" s="8">
        <v>100</v>
      </c>
      <c r="S72" s="8">
        <v>3623</v>
      </c>
      <c r="T72" s="8">
        <v>2284</v>
      </c>
      <c r="U72" s="8">
        <v>2283</v>
      </c>
      <c r="V72" s="6">
        <f>L72-Q72</f>
        <v>207.18000000000001</v>
      </c>
    </row>
    <row r="73" spans="1:22">
      <c r="A73" s="7">
        <v>71</v>
      </c>
      <c r="B73" s="7" t="s">
        <v>291</v>
      </c>
      <c r="C73" s="5" t="s">
        <v>292</v>
      </c>
      <c r="D73" s="5" t="s">
        <v>293</v>
      </c>
      <c r="E73" s="7" t="s">
        <v>30</v>
      </c>
      <c r="F73" s="5" t="s">
        <v>294</v>
      </c>
      <c r="G73" s="9">
        <v>1.41</v>
      </c>
      <c r="H73" s="8">
        <v>0</v>
      </c>
      <c r="I73" s="8">
        <v>0</v>
      </c>
      <c r="J73" s="8">
        <v>0</v>
      </c>
      <c r="K73" s="8">
        <v>0</v>
      </c>
      <c r="L73" s="9">
        <v>154.59</v>
      </c>
      <c r="M73" s="8">
        <v>100</v>
      </c>
      <c r="N73" s="8">
        <v>2377</v>
      </c>
      <c r="O73" s="8">
        <v>5</v>
      </c>
      <c r="P73" s="8">
        <v>4</v>
      </c>
      <c r="Q73" s="9">
        <v>93.95999999999999</v>
      </c>
      <c r="R73" s="8">
        <v>100</v>
      </c>
      <c r="S73" s="8">
        <v>4469</v>
      </c>
      <c r="T73" s="8">
        <v>5</v>
      </c>
      <c r="U73" s="8">
        <v>4</v>
      </c>
      <c r="V73" s="6">
        <f>L73-Q73</f>
        <v>60.63000000000001</v>
      </c>
    </row>
    <row r="74" spans="1:22">
      <c r="A74" s="7">
        <v>72</v>
      </c>
      <c r="B74" s="7" t="s">
        <v>295</v>
      </c>
      <c r="C74" s="5" t="s">
        <v>296</v>
      </c>
      <c r="D74" s="5" t="s">
        <v>297</v>
      </c>
      <c r="E74" s="7" t="s">
        <v>35</v>
      </c>
      <c r="F74" s="5" t="s">
        <v>298</v>
      </c>
      <c r="G74" s="9">
        <v>1.15</v>
      </c>
      <c r="H74" s="8">
        <v>0</v>
      </c>
      <c r="I74" s="8">
        <v>0</v>
      </c>
      <c r="J74" s="8">
        <v>0</v>
      </c>
      <c r="K74" s="8">
        <v>0</v>
      </c>
      <c r="L74" s="9">
        <v>142.88999999999999</v>
      </c>
      <c r="M74" s="8">
        <v>0</v>
      </c>
      <c r="N74" s="8">
        <v>3997</v>
      </c>
      <c r="O74" s="8">
        <v>0</v>
      </c>
      <c r="P74" s="8">
        <v>0</v>
      </c>
      <c r="Q74" s="9">
        <v>43.42</v>
      </c>
      <c r="R74" s="8">
        <v>0</v>
      </c>
      <c r="S74" s="8">
        <v>1619</v>
      </c>
      <c r="T74" s="8">
        <v>0</v>
      </c>
      <c r="U74" s="8">
        <v>0</v>
      </c>
      <c r="V74" s="6">
        <f>L74-Q74</f>
        <v>99.46999999999998</v>
      </c>
    </row>
    <row r="75" spans="1:22">
      <c r="A75" s="7">
        <v>73</v>
      </c>
      <c r="B75" s="7" t="s">
        <v>299</v>
      </c>
      <c r="C75" s="5" t="s">
        <v>300</v>
      </c>
      <c r="D75" s="5" t="s">
        <v>301</v>
      </c>
      <c r="E75" s="7" t="s">
        <v>20</v>
      </c>
      <c r="F75" s="5" t="s">
        <v>302</v>
      </c>
      <c r="G75" s="9">
        <v>3.18</v>
      </c>
      <c r="H75" s="8">
        <v>0</v>
      </c>
      <c r="I75" s="8">
        <v>0</v>
      </c>
      <c r="J75" s="8">
        <v>0</v>
      </c>
      <c r="K75" s="8">
        <v>0</v>
      </c>
      <c r="L75" s="9">
        <v>279.27999999999997</v>
      </c>
      <c r="M75" s="8">
        <v>100</v>
      </c>
      <c r="N75" s="8">
        <v>6754</v>
      </c>
      <c r="O75" s="8">
        <v>98</v>
      </c>
      <c r="P75" s="8">
        <v>97</v>
      </c>
      <c r="Q75" s="9">
        <v>130.40000000000001</v>
      </c>
      <c r="R75" s="8">
        <v>100</v>
      </c>
      <c r="S75" s="8">
        <v>6266</v>
      </c>
      <c r="T75" s="8">
        <v>98</v>
      </c>
      <c r="U75" s="8">
        <v>97</v>
      </c>
      <c r="V75" s="6">
        <f>L75-Q75</f>
        <v>148.87999999999997</v>
      </c>
    </row>
    <row r="76" spans="1:22">
      <c r="A76" s="7">
        <v>74</v>
      </c>
      <c r="B76" s="7" t="s">
        <v>303</v>
      </c>
      <c r="C76" s="5" t="s">
        <v>304</v>
      </c>
      <c r="D76" s="5" t="s">
        <v>305</v>
      </c>
      <c r="E76" s="7" t="s">
        <v>25</v>
      </c>
      <c r="F76" s="5" t="s">
        <v>306</v>
      </c>
      <c r="G76" s="9">
        <v>1.11</v>
      </c>
      <c r="H76" s="8">
        <v>0</v>
      </c>
      <c r="I76" s="8">
        <v>0</v>
      </c>
      <c r="J76" s="8">
        <v>0</v>
      </c>
      <c r="K76" s="8">
        <v>0</v>
      </c>
      <c r="L76" s="9">
        <v>258.069999999999993</v>
      </c>
      <c r="M76" s="8">
        <v>100</v>
      </c>
      <c r="N76" s="8">
        <v>3633</v>
      </c>
      <c r="O76" s="8">
        <v>8</v>
      </c>
      <c r="P76" s="8">
        <v>7</v>
      </c>
      <c r="Q76" s="9">
        <v>13.38</v>
      </c>
      <c r="R76" s="8">
        <v>100</v>
      </c>
      <c r="S76" s="8">
        <v>441</v>
      </c>
      <c r="T76" s="8">
        <v>8</v>
      </c>
      <c r="U76" s="8">
        <v>7</v>
      </c>
      <c r="V76" s="6">
        <f>L76-Q76</f>
        <v>244.69</v>
      </c>
    </row>
    <row r="77" spans="1:22">
      <c r="A77" s="7">
        <v>75</v>
      </c>
      <c r="B77" s="7" t="s">
        <v>307</v>
      </c>
      <c r="C77" s="5" t="s">
        <v>308</v>
      </c>
      <c r="D77" s="5" t="s">
        <v>309</v>
      </c>
      <c r="E77" s="7" t="s">
        <v>30</v>
      </c>
      <c r="F77" s="5" t="s">
        <v>310</v>
      </c>
      <c r="G77" s="9">
        <v>1.53</v>
      </c>
      <c r="H77" s="8">
        <v>0</v>
      </c>
      <c r="I77" s="8">
        <v>0</v>
      </c>
      <c r="J77" s="8">
        <v>0</v>
      </c>
      <c r="K77" s="8">
        <v>0</v>
      </c>
      <c r="L77" s="9">
        <v>168.34999999999999</v>
      </c>
      <c r="M77" s="8">
        <v>100</v>
      </c>
      <c r="N77" s="8">
        <v>3508</v>
      </c>
      <c r="O77" s="8">
        <v>68</v>
      </c>
      <c r="P77" s="8">
        <v>67</v>
      </c>
      <c r="Q77" s="9">
        <v>77.14</v>
      </c>
      <c r="R77" s="8">
        <v>100</v>
      </c>
      <c r="S77" s="8">
        <v>3985</v>
      </c>
      <c r="T77" s="8">
        <v>68</v>
      </c>
      <c r="U77" s="8">
        <v>67</v>
      </c>
      <c r="V77" s="6">
        <f>L77-Q77</f>
        <v>91.20999999999999</v>
      </c>
    </row>
    <row r="78" spans="1:22">
      <c r="A78" s="7">
        <v>76</v>
      </c>
      <c r="B78" s="7" t="s">
        <v>311</v>
      </c>
      <c r="C78" s="5" t="s">
        <v>312</v>
      </c>
      <c r="D78" s="5" t="s">
        <v>313</v>
      </c>
      <c r="E78" s="7" t="s">
        <v>35</v>
      </c>
      <c r="F78" s="5" t="s">
        <v>314</v>
      </c>
      <c r="G78" s="9">
        <v>1.67</v>
      </c>
      <c r="H78" s="8">
        <v>0</v>
      </c>
      <c r="I78" s="8">
        <v>0</v>
      </c>
      <c r="J78" s="8">
        <v>0</v>
      </c>
      <c r="K78" s="8">
        <v>0</v>
      </c>
      <c r="L78" s="9">
        <v>245.19</v>
      </c>
      <c r="M78" s="8">
        <v>100</v>
      </c>
      <c r="N78" s="8">
        <v>5007</v>
      </c>
      <c r="O78" s="8">
        <v>6</v>
      </c>
      <c r="P78" s="8">
        <v>5</v>
      </c>
      <c r="Q78" s="9">
        <v>100.23</v>
      </c>
      <c r="R78" s="8">
        <v>100</v>
      </c>
      <c r="S78" s="8">
        <v>4943</v>
      </c>
      <c r="T78" s="8">
        <v>6</v>
      </c>
      <c r="U78" s="8">
        <v>5</v>
      </c>
      <c r="V78" s="6">
        <f>L78-Q78</f>
        <v>144.95999999999998</v>
      </c>
    </row>
    <row r="79" spans="1:22">
      <c r="A79" s="7">
        <v>77</v>
      </c>
      <c r="B79" s="7" t="s">
        <v>315</v>
      </c>
      <c r="C79" s="5" t="s">
        <v>224</v>
      </c>
      <c r="D79" s="5" t="s">
        <v>316</v>
      </c>
      <c r="E79" s="7" t="s">
        <v>20</v>
      </c>
      <c r="F79" s="5" t="s">
        <v>317</v>
      </c>
      <c r="G79" s="9">
        <v>1.21</v>
      </c>
      <c r="H79" s="8">
        <v>0</v>
      </c>
      <c r="I79" s="8">
        <v>0</v>
      </c>
      <c r="J79" s="8">
        <v>0</v>
      </c>
      <c r="K79" s="8">
        <v>0</v>
      </c>
      <c r="L79" s="9">
        <v>164.50999999999999</v>
      </c>
      <c r="M79" s="8">
        <v>100</v>
      </c>
      <c r="N79" s="8">
        <v>3778</v>
      </c>
      <c r="O79" s="8">
        <v>40</v>
      </c>
      <c r="P79" s="8">
        <v>39</v>
      </c>
      <c r="Q79" s="9">
        <v>50.56</v>
      </c>
      <c r="R79" s="8">
        <v>100</v>
      </c>
      <c r="S79" s="8">
        <v>2232</v>
      </c>
      <c r="T79" s="8">
        <v>40</v>
      </c>
      <c r="U79" s="8">
        <v>39</v>
      </c>
      <c r="V79" s="6">
        <f>L79-Q79</f>
        <v>113.94999999999999</v>
      </c>
    </row>
    <row r="80" spans="1:22">
      <c r="A80" s="7">
        <v>78</v>
      </c>
      <c r="B80" s="7" t="s">
        <v>318</v>
      </c>
      <c r="C80" s="5" t="s">
        <v>319</v>
      </c>
      <c r="D80" s="5" t="s">
        <v>320</v>
      </c>
      <c r="E80" s="7" t="s">
        <v>25</v>
      </c>
      <c r="F80" s="5" t="s">
        <v>321</v>
      </c>
      <c r="G80" s="9">
        <v>1.17</v>
      </c>
      <c r="H80" s="8">
        <v>0</v>
      </c>
      <c r="I80" s="8">
        <v>0</v>
      </c>
      <c r="J80" s="8">
        <v>0</v>
      </c>
      <c r="K80" s="8">
        <v>0</v>
      </c>
      <c r="L80" s="9">
        <v>173.46000000000001</v>
      </c>
      <c r="M80" s="8">
        <v>100</v>
      </c>
      <c r="N80" s="8">
        <v>3150</v>
      </c>
      <c r="O80" s="8">
        <v>128</v>
      </c>
      <c r="P80" s="8">
        <v>127</v>
      </c>
      <c r="Q80" s="9">
        <v>126.48</v>
      </c>
      <c r="R80" s="8">
        <v>100</v>
      </c>
      <c r="S80" s="8">
        <v>5789</v>
      </c>
      <c r="T80" s="8">
        <v>128</v>
      </c>
      <c r="U80" s="8">
        <v>127</v>
      </c>
      <c r="V80" s="6">
        <f>L80-Q80</f>
        <v>46.98</v>
      </c>
    </row>
    <row r="81" spans="1:22">
      <c r="A81" s="7">
        <v>79</v>
      </c>
      <c r="B81" s="7" t="s">
        <v>322</v>
      </c>
      <c r="C81" s="5" t="s">
        <v>323</v>
      </c>
      <c r="D81" s="5" t="s">
        <v>324</v>
      </c>
      <c r="E81" s="7" t="s">
        <v>30</v>
      </c>
      <c r="F81" s="5" t="s">
        <v>325</v>
      </c>
      <c r="G81" s="9">
        <v>1.83</v>
      </c>
      <c r="H81" s="8">
        <v>0</v>
      </c>
      <c r="I81" s="8">
        <v>0</v>
      </c>
      <c r="J81" s="8">
        <v>0</v>
      </c>
      <c r="K81" s="8">
        <v>0</v>
      </c>
      <c r="L81" s="9">
        <v>152.77000000000001</v>
      </c>
      <c r="M81" s="8">
        <v>100</v>
      </c>
      <c r="N81" s="8">
        <v>3036</v>
      </c>
      <c r="O81" s="8">
        <v>13</v>
      </c>
      <c r="P81" s="8">
        <v>12</v>
      </c>
      <c r="Q81" s="9">
        <v>90.64</v>
      </c>
      <c r="R81" s="8">
        <v>100</v>
      </c>
      <c r="S81" s="8">
        <v>4229</v>
      </c>
      <c r="T81" s="8">
        <v>13</v>
      </c>
      <c r="U81" s="8">
        <v>12</v>
      </c>
      <c r="V81" s="6">
        <f>L81-Q81</f>
        <v>62.13000000000001</v>
      </c>
    </row>
    <row r="82" spans="1:22">
      <c r="A82" s="7">
        <v>80</v>
      </c>
      <c r="B82" s="7" t="s">
        <v>326</v>
      </c>
      <c r="C82" s="5" t="s">
        <v>327</v>
      </c>
      <c r="D82" s="5" t="s">
        <v>328</v>
      </c>
      <c r="E82" s="7" t="s">
        <v>35</v>
      </c>
      <c r="F82" s="5" t="s">
        <v>329</v>
      </c>
      <c r="G82" s="9">
        <v>1.54</v>
      </c>
      <c r="H82" s="8">
        <v>0</v>
      </c>
      <c r="I82" s="8">
        <v>0</v>
      </c>
      <c r="J82" s="8">
        <v>0</v>
      </c>
      <c r="K82" s="8">
        <v>0</v>
      </c>
      <c r="L82" s="9">
        <v>196.030000000000001</v>
      </c>
      <c r="M82" s="8">
        <v>100</v>
      </c>
      <c r="N82" s="8">
        <v>4431</v>
      </c>
      <c r="O82" s="8">
        <v>100</v>
      </c>
      <c r="P82" s="8">
        <v>99</v>
      </c>
      <c r="Q82" s="9">
        <v>98.90000000000001</v>
      </c>
      <c r="R82" s="8">
        <v>100</v>
      </c>
      <c r="S82" s="8">
        <v>4737</v>
      </c>
      <c r="T82" s="8">
        <v>100</v>
      </c>
      <c r="U82" s="8">
        <v>99</v>
      </c>
      <c r="V82" s="6">
        <f>L82-Q82</f>
        <v>97.13</v>
      </c>
    </row>
    <row r="83" spans="1:22">
      <c r="A83" s="7">
        <v>81</v>
      </c>
      <c r="B83" s="7" t="s">
        <v>330</v>
      </c>
      <c r="C83" s="5" t="s">
        <v>18</v>
      </c>
      <c r="D83" s="5" t="s">
        <v>331</v>
      </c>
      <c r="E83" s="7" t="s">
        <v>20</v>
      </c>
      <c r="F83" s="5" t="s">
        <v>332</v>
      </c>
      <c r="G83" s="9">
        <v>1.47</v>
      </c>
      <c r="H83" s="8">
        <v>0</v>
      </c>
      <c r="I83" s="8">
        <v>0</v>
      </c>
      <c r="J83" s="8">
        <v>0</v>
      </c>
      <c r="K83" s="8">
        <v>0</v>
      </c>
      <c r="L83" s="9">
        <v>249.61000000000001</v>
      </c>
      <c r="M83" s="8">
        <v>100</v>
      </c>
      <c r="N83" s="8">
        <v>5748</v>
      </c>
      <c r="O83" s="8">
        <v>50</v>
      </c>
      <c r="P83" s="8">
        <v>49</v>
      </c>
      <c r="Q83" s="9">
        <v>92.55</v>
      </c>
      <c r="R83" s="8">
        <v>0</v>
      </c>
      <c r="S83" s="8">
        <v>4433</v>
      </c>
      <c r="T83" s="8">
        <v>12</v>
      </c>
      <c r="U83" s="8">
        <v>12</v>
      </c>
      <c r="V83" s="6">
        <f>L83-Q83</f>
        <v>157.060000000000002</v>
      </c>
    </row>
    <row r="84" spans="1:22">
      <c r="A84" s="7">
        <v>82</v>
      </c>
      <c r="B84" s="7" t="s">
        <v>333</v>
      </c>
      <c r="C84" s="5" t="s">
        <v>334</v>
      </c>
      <c r="D84" s="5" t="s">
        <v>335</v>
      </c>
      <c r="E84" s="7" t="s">
        <v>25</v>
      </c>
      <c r="F84" s="5" t="s">
        <v>336</v>
      </c>
      <c r="G84" s="9">
        <v>1.29</v>
      </c>
      <c r="H84" s="8">
        <v>0</v>
      </c>
      <c r="I84" s="8">
        <v>0</v>
      </c>
      <c r="J84" s="8">
        <v>0</v>
      </c>
      <c r="K84" s="8">
        <v>0</v>
      </c>
      <c r="L84" s="9">
        <v>233.0</v>
      </c>
      <c r="M84" s="8">
        <v>100</v>
      </c>
      <c r="N84" s="8">
        <v>3385</v>
      </c>
      <c r="O84" s="8">
        <v>6</v>
      </c>
      <c r="P84" s="8">
        <v>5</v>
      </c>
      <c r="Q84" s="9">
        <v>107.099999999999994</v>
      </c>
      <c r="R84" s="8">
        <v>100</v>
      </c>
      <c r="S84" s="8">
        <v>4841</v>
      </c>
      <c r="T84" s="8">
        <v>6</v>
      </c>
      <c r="U84" s="8">
        <v>5</v>
      </c>
      <c r="V84" s="6">
        <f>L84-Q84</f>
        <v>125.90000000000001</v>
      </c>
    </row>
    <row r="85" spans="1:22">
      <c r="A85" s="7">
        <v>83</v>
      </c>
      <c r="B85" s="7" t="s">
        <v>337</v>
      </c>
      <c r="C85" s="5" t="s">
        <v>338</v>
      </c>
      <c r="D85" s="5" t="s">
        <v>339</v>
      </c>
      <c r="E85" s="7" t="s">
        <v>30</v>
      </c>
      <c r="F85" s="5" t="s">
        <v>340</v>
      </c>
      <c r="G85" s="9">
        <v>1.09</v>
      </c>
      <c r="H85" s="8">
        <v>0</v>
      </c>
      <c r="I85" s="8">
        <v>0</v>
      </c>
      <c r="J85" s="8">
        <v>0</v>
      </c>
      <c r="K85" s="8">
        <v>0</v>
      </c>
      <c r="L85" s="9">
        <v>191.91999999999999</v>
      </c>
      <c r="M85" s="8">
        <v>100</v>
      </c>
      <c r="N85" s="8">
        <v>4804</v>
      </c>
      <c r="O85" s="8">
        <v>60</v>
      </c>
      <c r="P85" s="8">
        <v>59</v>
      </c>
      <c r="Q85" s="9">
        <v>24.46</v>
      </c>
      <c r="R85" s="8">
        <v>100</v>
      </c>
      <c r="S85" s="8">
        <v>1131</v>
      </c>
      <c r="T85" s="8">
        <v>60</v>
      </c>
      <c r="U85" s="8">
        <v>59</v>
      </c>
      <c r="V85" s="6">
        <f>L85-Q85</f>
        <v>167.45999999999998</v>
      </c>
    </row>
    <row r="86" spans="1:22">
      <c r="A86" s="7">
        <v>84</v>
      </c>
      <c r="B86" s="7" t="s">
        <v>341</v>
      </c>
      <c r="C86" s="5" t="s">
        <v>342</v>
      </c>
      <c r="D86" s="5" t="s">
        <v>343</v>
      </c>
      <c r="E86" s="7" t="s">
        <v>35</v>
      </c>
      <c r="F86" s="5" t="s">
        <v>344</v>
      </c>
      <c r="G86" s="9">
        <v>1.27</v>
      </c>
      <c r="H86" s="8">
        <v>0</v>
      </c>
      <c r="I86" s="8">
        <v>0</v>
      </c>
      <c r="J86" s="8">
        <v>0</v>
      </c>
      <c r="K86" s="8">
        <v>0</v>
      </c>
      <c r="L86" s="9">
        <v>353.63999999999999</v>
      </c>
      <c r="M86" s="8">
        <v>100</v>
      </c>
      <c r="N86" s="8">
        <v>5114</v>
      </c>
      <c r="O86" s="8">
        <v>2</v>
      </c>
      <c r="P86" s="8">
        <v>1</v>
      </c>
      <c r="Q86" s="9">
        <v>134.12</v>
      </c>
      <c r="R86" s="8">
        <v>100</v>
      </c>
      <c r="S86" s="8">
        <v>4719</v>
      </c>
      <c r="T86" s="8">
        <v>2</v>
      </c>
      <c r="U86" s="8">
        <v>1</v>
      </c>
      <c r="V86" s="6">
        <f>L86-Q86</f>
        <v>219.51999999999998</v>
      </c>
    </row>
    <row r="87" spans="1:22">
      <c r="A87" s="7">
        <v>85</v>
      </c>
      <c r="B87" s="7" t="s">
        <v>345</v>
      </c>
      <c r="C87" s="5" t="s">
        <v>346</v>
      </c>
      <c r="D87" s="5" t="s">
        <v>347</v>
      </c>
      <c r="E87" s="7" t="s">
        <v>20</v>
      </c>
      <c r="F87" s="5" t="s">
        <v>348</v>
      </c>
      <c r="G87" s="9">
        <v>1.28</v>
      </c>
      <c r="H87" s="8">
        <v>0</v>
      </c>
      <c r="I87" s="8">
        <v>0</v>
      </c>
      <c r="J87" s="8">
        <v>0</v>
      </c>
      <c r="K87" s="8">
        <v>0</v>
      </c>
      <c r="L87" s="9">
        <v>212.31</v>
      </c>
      <c r="M87" s="8">
        <v>100</v>
      </c>
      <c r="N87" s="8">
        <v>4675</v>
      </c>
      <c r="O87" s="8">
        <v>1</v>
      </c>
      <c r="P87" s="8">
        <v>0</v>
      </c>
      <c r="Q87" s="9">
        <v>63.84</v>
      </c>
      <c r="R87" s="8">
        <v>100</v>
      </c>
      <c r="S87" s="8">
        <v>2864</v>
      </c>
      <c r="T87" s="8">
        <v>1</v>
      </c>
      <c r="U87" s="8">
        <v>0</v>
      </c>
      <c r="V87" s="6">
        <f>L87-Q87</f>
        <v>148.47</v>
      </c>
    </row>
    <row r="88" spans="1:22">
      <c r="A88" s="7">
        <v>86</v>
      </c>
      <c r="B88" s="7" t="s">
        <v>349</v>
      </c>
      <c r="C88" s="5" t="s">
        <v>146</v>
      </c>
      <c r="D88" s="5" t="s">
        <v>350</v>
      </c>
      <c r="E88" s="7" t="s">
        <v>25</v>
      </c>
      <c r="F88" s="5" t="s">
        <v>351</v>
      </c>
      <c r="G88" s="9">
        <v>1.12</v>
      </c>
      <c r="H88" s="8">
        <v>0</v>
      </c>
      <c r="I88" s="8">
        <v>0</v>
      </c>
      <c r="J88" s="8">
        <v>0</v>
      </c>
      <c r="K88" s="8">
        <v>0</v>
      </c>
      <c r="L88" s="9">
        <v>322.029999999999973</v>
      </c>
      <c r="M88" s="8">
        <v>100</v>
      </c>
      <c r="N88" s="8">
        <v>5638</v>
      </c>
      <c r="O88" s="8">
        <v>161</v>
      </c>
      <c r="P88" s="8">
        <v>160</v>
      </c>
      <c r="Q88" s="9">
        <v>148.86000000000001</v>
      </c>
      <c r="R88" s="8">
        <v>100</v>
      </c>
      <c r="S88" s="8">
        <v>6687</v>
      </c>
      <c r="T88" s="8">
        <v>161</v>
      </c>
      <c r="U88" s="8">
        <v>160</v>
      </c>
      <c r="V88" s="6">
        <f>L88-Q88</f>
        <v>173.16999999999996</v>
      </c>
    </row>
    <row r="89" spans="1:22">
      <c r="A89" s="7">
        <v>87</v>
      </c>
      <c r="B89" s="7" t="s">
        <v>352</v>
      </c>
      <c r="C89" s="5" t="s">
        <v>353</v>
      </c>
      <c r="D89" s="5" t="s">
        <v>354</v>
      </c>
      <c r="E89" s="7" t="s">
        <v>30</v>
      </c>
      <c r="F89" s="5" t="s">
        <v>355</v>
      </c>
      <c r="G89" s="9">
        <v>1.43</v>
      </c>
      <c r="H89" s="8">
        <v>0</v>
      </c>
      <c r="I89" s="8">
        <v>0</v>
      </c>
      <c r="J89" s="8">
        <v>0</v>
      </c>
      <c r="K89" s="8">
        <v>0</v>
      </c>
      <c r="L89" s="9">
        <v>264.73000000000002</v>
      </c>
      <c r="M89" s="8">
        <v>100</v>
      </c>
      <c r="N89" s="8">
        <v>5849</v>
      </c>
      <c r="O89" s="8">
        <v>3</v>
      </c>
      <c r="P89" s="8">
        <v>2</v>
      </c>
      <c r="Q89" s="9">
        <v>90.19</v>
      </c>
      <c r="R89" s="8">
        <v>100</v>
      </c>
      <c r="S89" s="8">
        <v>3912</v>
      </c>
      <c r="T89" s="8">
        <v>3</v>
      </c>
      <c r="U89" s="8">
        <v>2</v>
      </c>
      <c r="V89" s="6">
        <f>L89-Q89</f>
        <v>174.54000000000002</v>
      </c>
    </row>
    <row r="90" spans="1:22">
      <c r="A90" s="7">
        <v>88</v>
      </c>
      <c r="B90" s="7" t="s">
        <v>356</v>
      </c>
      <c r="C90" s="5" t="s">
        <v>130</v>
      </c>
      <c r="D90" s="5" t="s">
        <v>357</v>
      </c>
      <c r="E90" s="7" t="s">
        <v>35</v>
      </c>
      <c r="F90" s="5" t="s">
        <v>358</v>
      </c>
      <c r="G90" s="9">
        <v>1.51</v>
      </c>
      <c r="H90" s="8">
        <v>0</v>
      </c>
      <c r="I90" s="8">
        <v>0</v>
      </c>
      <c r="J90" s="8">
        <v>0</v>
      </c>
      <c r="K90" s="8">
        <v>0</v>
      </c>
      <c r="L90" s="9">
        <v>297.88999999999999</v>
      </c>
      <c r="M90" s="8">
        <v>100</v>
      </c>
      <c r="N90" s="8">
        <v>5860</v>
      </c>
      <c r="O90" s="8">
        <v>393</v>
      </c>
      <c r="P90" s="8">
        <v>392</v>
      </c>
      <c r="Q90" s="9">
        <v>83.94</v>
      </c>
      <c r="R90" s="8">
        <v>100</v>
      </c>
      <c r="S90" s="8">
        <v>3238</v>
      </c>
      <c r="T90" s="8">
        <v>393</v>
      </c>
      <c r="U90" s="8">
        <v>392</v>
      </c>
      <c r="V90" s="6">
        <f>L90-Q90</f>
        <v>213.94999999999999</v>
      </c>
    </row>
    <row r="91" spans="1:22">
      <c r="A91" s="7">
        <v>89</v>
      </c>
      <c r="B91" s="7" t="s">
        <v>359</v>
      </c>
      <c r="C91" s="5" t="s">
        <v>360</v>
      </c>
      <c r="D91" s="5" t="s">
        <v>361</v>
      </c>
      <c r="E91" s="7" t="s">
        <v>20</v>
      </c>
      <c r="F91" s="5" t="s">
        <v>362</v>
      </c>
      <c r="G91" s="9">
        <v>1.35</v>
      </c>
      <c r="H91" s="8">
        <v>0</v>
      </c>
      <c r="I91" s="8">
        <v>0</v>
      </c>
      <c r="J91" s="8">
        <v>0</v>
      </c>
      <c r="K91" s="8">
        <v>0</v>
      </c>
      <c r="L91" s="9">
        <v>172.5</v>
      </c>
      <c r="M91" s="8">
        <v>100</v>
      </c>
      <c r="N91" s="8">
        <v>3228</v>
      </c>
      <c r="O91" s="8">
        <v>181</v>
      </c>
      <c r="P91" s="8">
        <v>180</v>
      </c>
      <c r="Q91" s="9">
        <v>98.92</v>
      </c>
      <c r="R91" s="8">
        <v>100</v>
      </c>
      <c r="S91" s="8">
        <v>4593</v>
      </c>
      <c r="T91" s="8">
        <v>181</v>
      </c>
      <c r="U91" s="8">
        <v>180</v>
      </c>
      <c r="V91" s="6">
        <f>L91-Q91</f>
        <v>73.58</v>
      </c>
    </row>
    <row r="92" spans="1:22">
      <c r="A92" s="7">
        <v>90</v>
      </c>
      <c r="B92" s="7" t="s">
        <v>363</v>
      </c>
      <c r="C92" s="5" t="s">
        <v>364</v>
      </c>
      <c r="D92" s="5" t="s">
        <v>365</v>
      </c>
      <c r="E92" s="7" t="s">
        <v>25</v>
      </c>
      <c r="F92" s="5" t="s">
        <v>366</v>
      </c>
      <c r="G92" s="9">
        <v>1.93</v>
      </c>
      <c r="H92" s="8">
        <v>0</v>
      </c>
      <c r="I92" s="8">
        <v>0</v>
      </c>
      <c r="J92" s="8">
        <v>0</v>
      </c>
      <c r="K92" s="8">
        <v>0</v>
      </c>
      <c r="L92" s="9">
        <v>250.30000000000001</v>
      </c>
      <c r="M92" s="8">
        <v>100</v>
      </c>
      <c r="N92" s="8">
        <v>5119</v>
      </c>
      <c r="O92" s="8">
        <v>69</v>
      </c>
      <c r="P92" s="8">
        <v>68</v>
      </c>
      <c r="Q92" s="9">
        <v>103.62</v>
      </c>
      <c r="R92" s="8">
        <v>100</v>
      </c>
      <c r="S92" s="8">
        <v>4535</v>
      </c>
      <c r="T92" s="8">
        <v>69</v>
      </c>
      <c r="U92" s="8">
        <v>68</v>
      </c>
      <c r="V92" s="6">
        <f>L92-Q92</f>
        <v>146.68000000000001</v>
      </c>
    </row>
    <row r="93" spans="1:22">
      <c r="A93" s="7">
        <v>91</v>
      </c>
      <c r="B93" s="7" t="s">
        <v>367</v>
      </c>
      <c r="C93" s="5" t="s">
        <v>368</v>
      </c>
      <c r="D93" s="5" t="s">
        <v>369</v>
      </c>
      <c r="E93" s="7" t="s">
        <v>30</v>
      </c>
      <c r="F93" s="5" t="s">
        <v>370</v>
      </c>
      <c r="G93" s="9">
        <v>1.44</v>
      </c>
      <c r="H93" s="8">
        <v>0</v>
      </c>
      <c r="I93" s="8">
        <v>0</v>
      </c>
      <c r="J93" s="8">
        <v>0</v>
      </c>
      <c r="K93" s="8">
        <v>0</v>
      </c>
      <c r="L93" s="9">
        <v>146.74000000000001</v>
      </c>
      <c r="M93" s="8">
        <v>0</v>
      </c>
      <c r="N93" s="8">
        <v>4318</v>
      </c>
      <c r="O93" s="8">
        <v>0</v>
      </c>
      <c r="P93" s="8">
        <v>0</v>
      </c>
      <c r="Q93" s="9">
        <v>65.25</v>
      </c>
      <c r="R93" s="8">
        <v>0</v>
      </c>
      <c r="S93" s="8">
        <v>2554</v>
      </c>
      <c r="T93" s="8">
        <v>0</v>
      </c>
      <c r="U93" s="8">
        <v>0</v>
      </c>
      <c r="V93" s="6">
        <f>L93-Q93</f>
        <v>81.49000000000001</v>
      </c>
    </row>
    <row r="94" spans="1:22">
      <c r="A94" s="7">
        <v>92</v>
      </c>
      <c r="B94" s="7" t="s">
        <v>371</v>
      </c>
      <c r="C94" s="5" t="s">
        <v>28</v>
      </c>
      <c r="D94" s="5" t="s">
        <v>372</v>
      </c>
      <c r="E94" s="7" t="s">
        <v>35</v>
      </c>
      <c r="F94" s="5" t="s">
        <v>373</v>
      </c>
      <c r="G94" s="9">
        <v>2.23</v>
      </c>
      <c r="H94" s="8">
        <v>0</v>
      </c>
      <c r="I94" s="8">
        <v>0</v>
      </c>
      <c r="J94" s="8">
        <v>0</v>
      </c>
      <c r="K94" s="8">
        <v>0</v>
      </c>
      <c r="L94" s="9">
        <v>261.10000000000002</v>
      </c>
      <c r="M94" s="8">
        <v>100</v>
      </c>
      <c r="N94" s="8">
        <v>4935</v>
      </c>
      <c r="O94" s="8">
        <v>479</v>
      </c>
      <c r="P94" s="8">
        <v>478</v>
      </c>
      <c r="Q94" s="9">
        <v>24.33</v>
      </c>
      <c r="R94" s="8">
        <v>100</v>
      </c>
      <c r="S94" s="8">
        <v>885</v>
      </c>
      <c r="T94" s="8">
        <v>427</v>
      </c>
      <c r="U94" s="8">
        <v>426</v>
      </c>
      <c r="V94" s="6">
        <f>L94-Q94</f>
        <v>236.77000000000004</v>
      </c>
    </row>
    <row r="95" spans="1:22">
      <c r="A95" s="7">
        <v>93</v>
      </c>
      <c r="B95" s="7" t="s">
        <v>374</v>
      </c>
      <c r="C95" s="5" t="s">
        <v>146</v>
      </c>
      <c r="D95" s="5" t="s">
        <v>375</v>
      </c>
      <c r="E95" s="7" t="s">
        <v>20</v>
      </c>
      <c r="F95" s="5" t="s">
        <v>376</v>
      </c>
      <c r="G95" s="9">
        <v>1.4</v>
      </c>
      <c r="H95" s="8">
        <v>0</v>
      </c>
      <c r="I95" s="8">
        <v>0</v>
      </c>
      <c r="J95" s="8">
        <v>0</v>
      </c>
      <c r="K95" s="8">
        <v>0</v>
      </c>
      <c r="L95" s="9">
        <v>282.57999999999998</v>
      </c>
      <c r="M95" s="8">
        <v>100</v>
      </c>
      <c r="N95" s="8">
        <v>6175</v>
      </c>
      <c r="O95" s="8">
        <v>161</v>
      </c>
      <c r="P95" s="8">
        <v>160</v>
      </c>
      <c r="Q95" s="9">
        <v>146.44</v>
      </c>
      <c r="R95" s="8">
        <v>100</v>
      </c>
      <c r="S95" s="8">
        <v>6687</v>
      </c>
      <c r="T95" s="8">
        <v>161</v>
      </c>
      <c r="U95" s="8">
        <v>160</v>
      </c>
      <c r="V95" s="6">
        <f>L95-Q95</f>
        <v>136.13999999999999</v>
      </c>
    </row>
    <row r="96" spans="1:22">
      <c r="A96" s="7">
        <v>94</v>
      </c>
      <c r="B96" s="7" t="s">
        <v>377</v>
      </c>
      <c r="C96" s="5" t="s">
        <v>360</v>
      </c>
      <c r="D96" s="5" t="s">
        <v>378</v>
      </c>
      <c r="E96" s="7" t="s">
        <v>25</v>
      </c>
      <c r="F96" s="5" t="s">
        <v>379</v>
      </c>
      <c r="G96" s="9">
        <v>1.33</v>
      </c>
      <c r="H96" s="8">
        <v>0</v>
      </c>
      <c r="I96" s="8">
        <v>0</v>
      </c>
      <c r="J96" s="8">
        <v>0</v>
      </c>
      <c r="K96" s="8">
        <v>0</v>
      </c>
      <c r="L96" s="9">
        <v>182.52000000000001</v>
      </c>
      <c r="M96" s="8">
        <v>100</v>
      </c>
      <c r="N96" s="8">
        <v>3975</v>
      </c>
      <c r="O96" s="8">
        <v>181</v>
      </c>
      <c r="P96" s="8">
        <v>180</v>
      </c>
      <c r="Q96" s="9">
        <v>58.61</v>
      </c>
      <c r="R96" s="8">
        <v>100</v>
      </c>
      <c r="S96" s="8">
        <v>2746</v>
      </c>
      <c r="T96" s="8">
        <v>181</v>
      </c>
      <c r="U96" s="8">
        <v>180</v>
      </c>
      <c r="V96" s="6">
        <f>L96-Q96</f>
        <v>123.91000000000001</v>
      </c>
    </row>
    <row r="97" spans="1:22">
      <c r="A97" s="7">
        <v>95</v>
      </c>
      <c r="B97" s="7" t="s">
        <v>380</v>
      </c>
      <c r="C97" s="5" t="s">
        <v>381</v>
      </c>
      <c r="D97" s="5" t="s">
        <v>382</v>
      </c>
      <c r="E97" s="7" t="s">
        <v>30</v>
      </c>
      <c r="F97" s="5" t="s">
        <v>383</v>
      </c>
      <c r="G97" s="9">
        <v>1.25</v>
      </c>
      <c r="H97" s="8">
        <v>0</v>
      </c>
      <c r="I97" s="8">
        <v>0</v>
      </c>
      <c r="J97" s="8">
        <v>0</v>
      </c>
      <c r="K97" s="8">
        <v>0</v>
      </c>
      <c r="L97" s="9">
        <v>302.31999999999999</v>
      </c>
      <c r="M97" s="8">
        <v>100</v>
      </c>
      <c r="N97" s="8">
        <v>5850</v>
      </c>
      <c r="O97" s="8">
        <v>22</v>
      </c>
      <c r="P97" s="8">
        <v>21</v>
      </c>
      <c r="Q97" s="9">
        <v>99.39</v>
      </c>
      <c r="R97" s="8">
        <v>100</v>
      </c>
      <c r="S97" s="8">
        <v>4193</v>
      </c>
      <c r="T97" s="8">
        <v>22</v>
      </c>
      <c r="U97" s="8">
        <v>21</v>
      </c>
      <c r="V97" s="6">
        <f>L97-Q97</f>
        <v>202.93000000000001</v>
      </c>
    </row>
    <row r="98" spans="1:22">
      <c r="A98" s="7">
        <v>96</v>
      </c>
      <c r="B98" s="7" t="s">
        <v>384</v>
      </c>
      <c r="C98" s="5" t="s">
        <v>385</v>
      </c>
      <c r="D98" s="5" t="s">
        <v>386</v>
      </c>
      <c r="E98" s="7" t="s">
        <v>35</v>
      </c>
      <c r="F98" s="5" t="s">
        <v>387</v>
      </c>
      <c r="G98" s="9">
        <v>1.4</v>
      </c>
      <c r="H98" s="8">
        <v>0</v>
      </c>
      <c r="I98" s="8">
        <v>0</v>
      </c>
      <c r="J98" s="8">
        <v>0</v>
      </c>
      <c r="K98" s="8">
        <v>0</v>
      </c>
      <c r="L98" s="9">
        <v>220.62</v>
      </c>
      <c r="M98" s="8">
        <v>100</v>
      </c>
      <c r="N98" s="8">
        <v>4974</v>
      </c>
      <c r="O98" s="8">
        <v>52</v>
      </c>
      <c r="P98" s="8">
        <v>51</v>
      </c>
      <c r="Q98" s="9">
        <v>126.18000000000001</v>
      </c>
      <c r="R98" s="8">
        <v>100</v>
      </c>
      <c r="S98" s="8">
        <v>6335</v>
      </c>
      <c r="T98" s="8">
        <v>52</v>
      </c>
      <c r="U98" s="8">
        <v>51</v>
      </c>
      <c r="V98" s="6">
        <f>L98-Q98</f>
        <v>94.44</v>
      </c>
    </row>
    <row r="99" spans="1:22">
      <c r="A99" s="7">
        <v>97</v>
      </c>
      <c r="B99" s="7" t="s">
        <v>388</v>
      </c>
      <c r="C99" s="5" t="s">
        <v>389</v>
      </c>
      <c r="D99" s="5" t="s">
        <v>390</v>
      </c>
      <c r="E99" s="7" t="s">
        <v>20</v>
      </c>
      <c r="F99" s="5" t="s">
        <v>391</v>
      </c>
      <c r="G99" s="9">
        <v>1.7</v>
      </c>
      <c r="H99" s="8">
        <v>0</v>
      </c>
      <c r="I99" s="8">
        <v>0</v>
      </c>
      <c r="J99" s="8">
        <v>0</v>
      </c>
      <c r="K99" s="8">
        <v>0</v>
      </c>
      <c r="L99" s="9">
        <v>245.44999999999999</v>
      </c>
      <c r="M99" s="8">
        <v>100</v>
      </c>
      <c r="N99" s="8">
        <v>4622</v>
      </c>
      <c r="O99" s="8">
        <v>5</v>
      </c>
      <c r="P99" s="8">
        <v>4</v>
      </c>
      <c r="Q99" s="9">
        <v>65.58</v>
      </c>
      <c r="R99" s="8">
        <v>100</v>
      </c>
      <c r="S99" s="8">
        <v>2977</v>
      </c>
      <c r="T99" s="8">
        <v>5</v>
      </c>
      <c r="U99" s="8">
        <v>4</v>
      </c>
      <c r="V99" s="6">
        <f>L99-Q99</f>
        <v>179.87</v>
      </c>
    </row>
    <row r="100" spans="1:22">
      <c r="A100" s="7">
        <v>98</v>
      </c>
      <c r="B100" s="7" t="s">
        <v>392</v>
      </c>
      <c r="C100" s="5" t="s">
        <v>393</v>
      </c>
      <c r="D100" s="5" t="s">
        <v>394</v>
      </c>
      <c r="E100" s="7" t="s">
        <v>25</v>
      </c>
      <c r="F100" s="5" t="s">
        <v>395</v>
      </c>
      <c r="G100" s="9">
        <v>1.08</v>
      </c>
      <c r="H100" s="8">
        <v>0</v>
      </c>
      <c r="I100" s="8">
        <v>0</v>
      </c>
      <c r="J100" s="8">
        <v>0</v>
      </c>
      <c r="K100" s="8">
        <v>0</v>
      </c>
      <c r="L100" s="9">
        <v>275.31999999999999</v>
      </c>
      <c r="M100" s="8">
        <v>100</v>
      </c>
      <c r="N100" s="8">
        <v>3917</v>
      </c>
      <c r="O100" s="8">
        <v>10</v>
      </c>
      <c r="P100" s="8">
        <v>9</v>
      </c>
      <c r="Q100" s="9">
        <v>100.31999999999999</v>
      </c>
      <c r="R100" s="8">
        <v>100</v>
      </c>
      <c r="S100" s="8">
        <v>4162</v>
      </c>
      <c r="T100" s="8">
        <v>10</v>
      </c>
      <c r="U100" s="8">
        <v>9</v>
      </c>
      <c r="V100" s="6">
        <f>L100-Q100</f>
        <v>175</v>
      </c>
    </row>
    <row r="101" spans="1:22">
      <c r="A101" s="7">
        <v>99</v>
      </c>
      <c r="B101" s="7" t="s">
        <v>396</v>
      </c>
      <c r="C101" s="5" t="s">
        <v>28</v>
      </c>
      <c r="D101" s="5" t="s">
        <v>397</v>
      </c>
      <c r="E101" s="7" t="s">
        <v>30</v>
      </c>
      <c r="F101" s="5" t="s">
        <v>398</v>
      </c>
      <c r="G101" s="9">
        <v>1.48</v>
      </c>
      <c r="H101" s="8">
        <v>0</v>
      </c>
      <c r="I101" s="8">
        <v>0</v>
      </c>
      <c r="J101" s="8">
        <v>0</v>
      </c>
      <c r="K101" s="8">
        <v>0</v>
      </c>
      <c r="L101" s="9">
        <v>123.73999999999999</v>
      </c>
      <c r="M101" s="8">
        <v>100</v>
      </c>
      <c r="N101" s="8">
        <v>2288</v>
      </c>
      <c r="O101" s="8">
        <v>479</v>
      </c>
      <c r="P101" s="8">
        <v>478</v>
      </c>
      <c r="Q101" s="9">
        <v>71.93000000000001</v>
      </c>
      <c r="R101" s="8">
        <v>100</v>
      </c>
      <c r="S101" s="8">
        <v>3407</v>
      </c>
      <c r="T101" s="8">
        <v>479</v>
      </c>
      <c r="U101" s="8">
        <v>478</v>
      </c>
      <c r="V101" s="6">
        <f>L101-Q101</f>
        <v>51.80999999999999</v>
      </c>
    </row>
    <row r="102" spans="1:22">
      <c r="A102" s="7">
        <v>100</v>
      </c>
      <c r="B102" s="7" t="s">
        <v>399</v>
      </c>
      <c r="C102" s="5" t="s">
        <v>220</v>
      </c>
      <c r="D102" s="5" t="s">
        <v>400</v>
      </c>
      <c r="E102" s="7" t="s">
        <v>35</v>
      </c>
      <c r="F102" s="5" t="s">
        <v>401</v>
      </c>
      <c r="G102" s="9">
        <v>1.25</v>
      </c>
      <c r="H102" s="8">
        <v>0</v>
      </c>
      <c r="I102" s="8">
        <v>0</v>
      </c>
      <c r="J102" s="8">
        <v>0</v>
      </c>
      <c r="K102" s="8">
        <v>0</v>
      </c>
      <c r="L102" s="9">
        <v>104.83</v>
      </c>
      <c r="M102" s="8">
        <v>100</v>
      </c>
      <c r="N102" s="8">
        <v>1886</v>
      </c>
      <c r="O102" s="8">
        <v>168</v>
      </c>
      <c r="P102" s="8">
        <v>167</v>
      </c>
      <c r="Q102" s="9">
        <v>40.99</v>
      </c>
      <c r="R102" s="8">
        <v>100</v>
      </c>
      <c r="S102" s="8">
        <v>1740</v>
      </c>
      <c r="T102" s="8">
        <v>168</v>
      </c>
      <c r="U102" s="8">
        <v>167</v>
      </c>
      <c r="V102" s="6">
        <f>L102-Q102</f>
        <v>63.84</v>
      </c>
    </row>
    <row r="105" spans="1:22">
      <c r="E105" s="11" t="s">
        <v>402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2">
      <c r="E106" s="13" t="s">
        <v>403</v>
      </c>
      <c r="F106" s="13"/>
      <c r="G106" s="13" t="s">
        <v>404</v>
      </c>
      <c r="H106" s="13"/>
      <c r="I106" s="13"/>
      <c r="J106" s="13"/>
      <c r="K106" s="13"/>
      <c r="L106" s="13" t="s">
        <v>405</v>
      </c>
      <c r="M106" s="13"/>
      <c r="N106" s="13"/>
      <c r="O106" s="13"/>
      <c r="P106" s="13"/>
      <c r="Q106" s="13" t="s">
        <v>406</v>
      </c>
      <c r="R106" s="13"/>
      <c r="S106" s="13"/>
      <c r="T106" s="13" t="s">
        <v>407</v>
      </c>
      <c r="U106" s="13"/>
    </row>
    <row r="107" spans="1:22">
      <c r="E107" s="5" t="s">
        <v>408</v>
      </c>
      <c r="F107" s="5"/>
      <c r="G107" s="6">
        <f>AVERAGE(G3:G102)</f>
        <v>1.5069</v>
      </c>
      <c r="H107" s="6"/>
      <c r="I107" s="6"/>
      <c r="J107" s="6"/>
      <c r="K107" s="6"/>
      <c r="L107" s="6">
        <f>AVERAGE(L3:L102)</f>
        <v>248.43079999999995</v>
      </c>
      <c r="M107" s="6"/>
      <c r="N107" s="6"/>
      <c r="O107" s="6"/>
      <c r="P107" s="6"/>
      <c r="Q107" s="6">
        <f>AVERAGE(Q3:Q102)</f>
        <v>74.58179999999999</v>
      </c>
      <c r="R107" s="5"/>
      <c r="S107" s="5"/>
      <c r="T107" s="5" t="s">
        <v>409</v>
      </c>
      <c r="U107" s="5"/>
    </row>
    <row r="108" spans="1:22">
      <c r="E108" s="5" t="s">
        <v>410</v>
      </c>
      <c r="F108" s="5"/>
      <c r="G108" s="6">
        <f>_xlfn.STDEV.S(G3:G102)</f>
        <v>0.37391106542664</v>
      </c>
      <c r="H108" s="6"/>
      <c r="I108" s="6"/>
      <c r="J108" s="6"/>
      <c r="K108" s="6"/>
      <c r="L108" s="6">
        <f>_xlfn.STDEV.S(L3:L102)</f>
        <v>66.19857082408592</v>
      </c>
      <c r="M108" s="6"/>
      <c r="N108" s="6"/>
      <c r="O108" s="6"/>
      <c r="P108" s="6"/>
      <c r="Q108" s="6">
        <f>_xlfn.STDEV.S(Q3:Q102)</f>
        <v>125.092655868691324</v>
      </c>
      <c r="R108" s="5"/>
      <c r="S108" s="5"/>
      <c r="T108" s="5" t="s">
        <v>411</v>
      </c>
      <c r="U108" s="5"/>
    </row>
    <row r="109" spans="1:22">
      <c r="E109" s="5" t="s">
        <v>412</v>
      </c>
      <c r="F109" s="5"/>
      <c r="G109" s="6">
        <f>_xlfn.VAR.S(G3:G102)</f>
        <v>0.13980948484848</v>
      </c>
      <c r="H109" s="6"/>
      <c r="I109" s="6"/>
      <c r="J109" s="6"/>
      <c r="K109" s="6"/>
      <c r="L109" s="6">
        <f>_xlfn.VAR.S(L3:L102)</f>
        <v>4382.25077915151905</v>
      </c>
      <c r="M109" s="6"/>
      <c r="N109" s="6"/>
      <c r="O109" s="6"/>
      <c r="P109" s="6"/>
      <c r="Q109" s="6">
        <f>_xlfn.VAR.S(Q3:Q102)</f>
        <v>15648.17255228283466</v>
      </c>
      <c r="R109" s="5"/>
      <c r="S109" s="5"/>
      <c r="T109" s="5" t="s">
        <v>413</v>
      </c>
      <c r="U109" s="5"/>
    </row>
    <row r="110" spans="1:22">
      <c r="E110" s="5" t="s">
        <v>414</v>
      </c>
      <c r="F110" s="5"/>
      <c r="G110" s="6">
        <f>COUNT(G3:G102)</f>
        <v>100</v>
      </c>
      <c r="H110" s="6"/>
      <c r="I110" s="6"/>
      <c r="J110" s="6"/>
      <c r="K110" s="6"/>
      <c r="L110" s="6">
        <f>COUNT(L3:L102)</f>
        <v>100</v>
      </c>
      <c r="M110" s="6"/>
      <c r="N110" s="6"/>
      <c r="O110" s="6"/>
      <c r="P110" s="6"/>
      <c r="Q110" s="6">
        <f>COUNT(Q3:Q102)</f>
        <v>100</v>
      </c>
      <c r="R110" s="5"/>
      <c r="S110" s="5"/>
      <c r="T110" s="5" t="s">
        <v>415</v>
      </c>
      <c r="U110" s="5"/>
    </row>
    <row r="111" spans="1:22">
      <c r="E111" s="5" t="s">
        <v>416</v>
      </c>
      <c r="F111" s="5"/>
      <c r="G111" s="6">
        <f>ROUND(_xlfn.T.INV.2T(0.05,G110-1),3)*(G108/SQRT(G110))</f>
        <v>0.074183955380645</v>
      </c>
      <c r="H111" s="6"/>
      <c r="I111" s="6"/>
      <c r="J111" s="6"/>
      <c r="K111" s="6"/>
      <c r="L111" s="6">
        <f>ROUND(_xlfn.T.INV.2T(0.05,L110-1),3)*(L108/SQRT(L110))</f>
        <v>13.13379645149864</v>
      </c>
      <c r="M111" s="6"/>
      <c r="N111" s="6"/>
      <c r="O111" s="6"/>
      <c r="P111" s="6"/>
      <c r="Q111" s="6">
        <f>ROUND(_xlfn.T.INV.2T(0.05,Q110-1),3)*(Q108/SQRT(Q110))</f>
        <v>24.81838292434836</v>
      </c>
      <c r="R111" s="5"/>
      <c r="S111" s="5"/>
      <c r="T111" s="5" t="s">
        <v>417</v>
      </c>
      <c r="U111" s="5"/>
    </row>
    <row r="112" spans="1:22">
      <c r="E112" s="5" t="s">
        <v>418</v>
      </c>
      <c r="F112" s="5"/>
      <c r="G112" s="6">
        <f>G107-G111</f>
        <v>1.43271604461936</v>
      </c>
      <c r="H112" s="6"/>
      <c r="I112" s="6"/>
      <c r="J112" s="6"/>
      <c r="K112" s="6"/>
      <c r="L112" s="6">
        <f>L107-L111</f>
        <v>235.29700354850129</v>
      </c>
      <c r="M112" s="6"/>
      <c r="N112" s="6"/>
      <c r="O112" s="6"/>
      <c r="P112" s="6"/>
      <c r="Q112" s="6">
        <f>Q107-Q111</f>
        <v>49.76341707565163</v>
      </c>
      <c r="R112" s="5"/>
      <c r="S112" s="5"/>
      <c r="T112" s="5" t="s">
        <v>419</v>
      </c>
      <c r="U112" s="5"/>
    </row>
    <row r="113" spans="1:22">
      <c r="E113" s="5" t="s">
        <v>420</v>
      </c>
      <c r="F113" s="5"/>
      <c r="G113" s="6">
        <f>G107+G111</f>
        <v>1.58108395538065</v>
      </c>
      <c r="H113" s="6"/>
      <c r="I113" s="6"/>
      <c r="J113" s="6"/>
      <c r="K113" s="6"/>
      <c r="L113" s="6">
        <f>L107+L111</f>
        <v>261.56459645149857</v>
      </c>
      <c r="M113" s="6"/>
      <c r="N113" s="6"/>
      <c r="O113" s="6"/>
      <c r="P113" s="6"/>
      <c r="Q113" s="6">
        <f>Q107+Q111</f>
        <v>99.40018292434834</v>
      </c>
      <c r="R113" s="5"/>
      <c r="S113" s="5"/>
      <c r="T113" s="5" t="s">
        <v>421</v>
      </c>
      <c r="U113" s="5"/>
    </row>
    <row r="114" spans="1:22">
      <c r="E114" s="5" t="s">
        <v>422</v>
      </c>
      <c r="F114" s="5"/>
      <c r="G114" s="6"/>
      <c r="H114" s="6"/>
      <c r="I114" s="6"/>
      <c r="J114" s="6"/>
      <c r="K114" s="6"/>
      <c r="L114" s="6">
        <f>L107-Q107</f>
        <v>173.84899999999996</v>
      </c>
      <c r="M114" s="6"/>
      <c r="N114" s="6"/>
      <c r="O114" s="6"/>
      <c r="P114" s="6"/>
      <c r="Q114" s="6"/>
      <c r="R114" s="5"/>
      <c r="S114" s="5"/>
      <c r="T114" s="5" t="s">
        <v>423</v>
      </c>
      <c r="U114" s="5"/>
    </row>
    <row r="115" spans="1:22">
      <c r="E115" s="5" t="s">
        <v>424</v>
      </c>
      <c r="F115" s="5"/>
      <c r="G115" s="6"/>
      <c r="H115" s="6"/>
      <c r="I115" s="6"/>
      <c r="J115" s="6"/>
      <c r="K115" s="6"/>
      <c r="L115" s="6">
        <f>CORREL(L3:L102, Q3:Q102)</f>
        <v>0.19590975675812</v>
      </c>
      <c r="M115" s="6"/>
      <c r="N115" s="6"/>
      <c r="O115" s="6"/>
      <c r="P115" s="6"/>
      <c r="Q115" s="6"/>
      <c r="R115" s="5"/>
      <c r="S115" s="5"/>
      <c r="T115" s="5" t="s">
        <v>425</v>
      </c>
      <c r="U115" s="5"/>
    </row>
    <row r="116" spans="1:22">
      <c r="E116" s="5" t="s">
        <v>426</v>
      </c>
      <c r="F116" s="5"/>
      <c r="G116" s="6"/>
      <c r="H116" s="6"/>
      <c r="I116" s="6"/>
      <c r="J116" s="6"/>
      <c r="K116" s="6"/>
      <c r="L116" s="6">
        <f>L110-1</f>
        <v>99</v>
      </c>
      <c r="M116" s="6"/>
      <c r="N116" s="6"/>
      <c r="O116" s="6"/>
      <c r="P116" s="6"/>
      <c r="Q116" s="6"/>
      <c r="R116" s="5"/>
      <c r="S116" s="5"/>
      <c r="T116" s="5" t="s">
        <v>427</v>
      </c>
      <c r="U116" s="5"/>
    </row>
    <row r="117" spans="1:22">
      <c r="E117" s="5" t="s">
        <v>428</v>
      </c>
      <c r="F117" s="5"/>
      <c r="G117" s="6"/>
      <c r="H117" s="6"/>
      <c r="I117" s="6"/>
      <c r="J117" s="6"/>
      <c r="K117" s="6"/>
      <c r="L117" s="16">
        <f>AVERAGE(V3:V102)/(_xlfn.STDEV.S(V3:V102)/SQRT(COUNT(V3:V102)))</f>
        <v>13.41842019215113</v>
      </c>
      <c r="M117" s="6"/>
      <c r="N117" s="6"/>
      <c r="O117" s="6"/>
      <c r="P117" s="6"/>
      <c r="Q117" s="6"/>
      <c r="R117" s="5"/>
      <c r="S117" s="5"/>
      <c r="T117" s="5" t="s">
        <v>429</v>
      </c>
      <c r="U117" s="5"/>
    </row>
    <row r="118" spans="1:22">
      <c r="E118" s="5" t="s">
        <v>430</v>
      </c>
      <c r="F118" s="5"/>
      <c r="G118" s="5"/>
      <c r="H118" s="5"/>
      <c r="I118" s="5"/>
      <c r="J118" s="5"/>
      <c r="K118" s="5"/>
      <c r="L118" s="18">
        <f>_xlfn.T.TEST(L3:L102, Q3:Q102, 2, 1)</f>
      </c>
      <c r="M118" s="5"/>
      <c r="N118" s="5"/>
      <c r="O118" s="5"/>
      <c r="P118" s="5"/>
      <c r="Q118" s="5"/>
      <c r="R118" s="5"/>
      <c r="S118" s="5"/>
      <c r="T118" s="5" t="s">
        <v>431</v>
      </c>
      <c r="U118" s="5"/>
    </row>
    <row r="119" spans="1:22">
      <c r="E119" s="5" t="s">
        <v>432</v>
      </c>
      <c r="F119" s="5"/>
      <c r="G119" s="5"/>
      <c r="H119" s="5"/>
      <c r="I119" s="5"/>
      <c r="J119" s="5"/>
      <c r="K119" s="5"/>
      <c r="L119" s="15" t="s">
        <v>433</v>
      </c>
      <c r="M119" s="5"/>
      <c r="N119" s="5"/>
      <c r="O119" s="5"/>
      <c r="P119" s="5"/>
      <c r="Q119" s="5"/>
      <c r="R119" s="5"/>
      <c r="S119" s="5"/>
      <c r="T119" s="5" t="s">
        <v>434</v>
      </c>
      <c r="U119" s="5"/>
    </row>
    <row r="120" spans="1:22">
      <c r="E120" s="5" t="s">
        <v>435</v>
      </c>
      <c r="F120" s="5"/>
      <c r="G120" s="5"/>
      <c r="H120" s="5"/>
      <c r="I120" s="5"/>
      <c r="J120" s="5"/>
      <c r="K120" s="5"/>
      <c r="L120" s="16">
        <f>_xlfn.T.INV.2T(0.05,L110-1)</f>
        <v>1.98421695158642</v>
      </c>
      <c r="M120" s="5"/>
      <c r="N120" s="5"/>
      <c r="O120" s="5"/>
      <c r="P120" s="5"/>
      <c r="Q120" s="5"/>
      <c r="R120" s="5"/>
      <c r="S120" s="5"/>
      <c r="T120" s="5" t="s">
        <v>436</v>
      </c>
      <c r="U120" s="5"/>
    </row>
    <row r="121" spans="1:22">
      <c r="E121" s="5" t="s">
        <v>437</v>
      </c>
      <c r="F121" s="5"/>
      <c r="G121" s="5" t="str">
        <f>TEXT(G107,"0.00")&amp;" ± "&amp;TEXT(G111,"0.00")</f>
        <v>1.51 ± 0.07</v>
      </c>
      <c r="H121" s="5"/>
      <c r="I121" s="5"/>
      <c r="J121" s="5"/>
      <c r="K121" s="5"/>
      <c r="L121" s="5" t="str">
        <f>TEXT(L107,"0.00")&amp;" ± "&amp;TEXT(L111,"0.00")</f>
        <v>248.43 ± 13.13</v>
      </c>
      <c r="M121" s="5"/>
      <c r="N121" s="5"/>
      <c r="O121" s="5"/>
      <c r="P121" s="5"/>
      <c r="Q121" s="5" t="str">
        <f>TEXT(Q107,"0.00")&amp;" ± "&amp;TEXT(Q111,"0.00")</f>
        <v>74.58 ± 24.82</v>
      </c>
      <c r="R121" s="5"/>
      <c r="S121" s="5"/>
      <c r="T121" s="5" t="s">
        <v>438</v>
      </c>
      <c r="U121" s="5"/>
    </row>
    <row r="122" spans="1:22">
      <c r="E122" s="5" t="s">
        <v>439</v>
      </c>
      <c r="F122" s="5"/>
      <c r="G122" s="5" t="str">
        <f>TEXT(G107,"0.00")&amp;" ± "&amp;TEXT(G108,"0.00")</f>
        <v>1.51 ± 0.37</v>
      </c>
      <c r="H122" s="5"/>
      <c r="I122" s="5"/>
      <c r="J122" s="5"/>
      <c r="K122" s="5"/>
      <c r="L122" s="5" t="str">
        <f>TEXT(L107,"0.00")&amp;" ± "&amp;TEXT(L108,"0.00")</f>
        <v>248.43 ± 66.20</v>
      </c>
      <c r="M122" s="5"/>
      <c r="N122" s="5"/>
      <c r="O122" s="5"/>
      <c r="P122" s="5"/>
      <c r="Q122" s="5" t="str">
        <f>TEXT(Q107,"0.00")&amp;" ± "&amp;TEXT(Q108,"0.00")</f>
        <v>74.58 ± 125.09</v>
      </c>
      <c r="R122" s="5"/>
      <c r="S122" s="5"/>
      <c r="T122" s="5" t="s">
        <v>440</v>
      </c>
      <c r="U122" s="5"/>
    </row>
    <row r="123" spans="1:22">
      <c r="E123" s="14" t="s">
        <v>441</v>
      </c>
      <c r="F123" s="14"/>
      <c r="G123" s="17">
        <f>COUNTIF(G3:G102,"&lt;0")</f>
        <v>0</v>
      </c>
      <c r="H123" s="17"/>
      <c r="I123" s="17"/>
      <c r="J123" s="17"/>
      <c r="K123" s="17"/>
      <c r="L123" s="17">
        <f>COUNTIF(L3:L102,"&lt;0")</f>
        <v>0</v>
      </c>
      <c r="M123" s="17"/>
      <c r="N123" s="17"/>
      <c r="O123" s="17"/>
      <c r="P123" s="17"/>
      <c r="Q123" s="17">
        <f>COUNTIF(Q3:Q102,"&lt;0")</f>
        <v>2</v>
      </c>
      <c r="R123" s="14"/>
      <c r="S123" s="14"/>
      <c r="T123" s="14" t="s">
        <v>442</v>
      </c>
      <c r="U123" s="5"/>
    </row>
    <row r="126" spans="1:22">
      <c r="E126" s="11" t="s">
        <v>443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2">
      <c r="E127" s="19" t="s">
        <v>444</v>
      </c>
      <c r="F127" s="19"/>
      <c r="G127" s="19" t="s">
        <v>445</v>
      </c>
      <c r="H127" s="19"/>
      <c r="I127" s="19"/>
      <c r="J127" s="19"/>
      <c r="K127" s="19"/>
      <c r="L127" s="19" t="s">
        <v>446</v>
      </c>
      <c r="M127" s="19"/>
      <c r="N127" s="19"/>
      <c r="O127" s="19"/>
      <c r="P127" s="19"/>
      <c r="Q127" s="19" t="s">
        <v>447</v>
      </c>
      <c r="R127" s="19"/>
      <c r="S127" s="19"/>
      <c r="T127" s="19" t="s">
        <v>448</v>
      </c>
      <c r="U127" s="19"/>
    </row>
    <row r="128" spans="1:22">
      <c r="E128" s="5" t="s">
        <v>449</v>
      </c>
      <c r="F128" s="5"/>
      <c r="G128" s="20">
        <f>COUNTIF(H3:H102, 100)</f>
        <v>0</v>
      </c>
      <c r="H128" s="20"/>
      <c r="I128" s="20"/>
      <c r="J128" s="20"/>
      <c r="K128" s="20"/>
      <c r="L128" s="20">
        <f>COUNTIF(M3:M102, 100)</f>
        <v>91</v>
      </c>
      <c r="M128" s="20"/>
      <c r="N128" s="20"/>
      <c r="O128" s="20"/>
      <c r="P128" s="20"/>
      <c r="Q128" s="20">
        <f>COUNTIF(R3:R102, 100)</f>
        <v>88</v>
      </c>
      <c r="R128" s="5"/>
      <c r="S128" s="5"/>
      <c r="T128" s="5" t="s">
        <v>450</v>
      </c>
      <c r="U128" s="5"/>
    </row>
    <row r="129" spans="1:22">
      <c r="E129" s="5" t="s">
        <v>451</v>
      </c>
      <c r="F129" s="5"/>
      <c r="G129" s="20">
        <f>COUNTIF(H3:H102, 0)</f>
        <v>100</v>
      </c>
      <c r="H129" s="20"/>
      <c r="I129" s="20"/>
      <c r="J129" s="20"/>
      <c r="K129" s="20"/>
      <c r="L129" s="20">
        <f>COUNTIF(M3:M102, 0)</f>
        <v>9</v>
      </c>
      <c r="M129" s="20"/>
      <c r="N129" s="20"/>
      <c r="O129" s="20"/>
      <c r="P129" s="20"/>
      <c r="Q129" s="20">
        <f>COUNTIF(R3:R102, 0)</f>
        <v>12</v>
      </c>
      <c r="R129" s="5"/>
      <c r="S129" s="5"/>
      <c r="T129" s="5" t="s">
        <v>452</v>
      </c>
      <c r="U129" s="5"/>
    </row>
    <row r="130" spans="1:22">
      <c r="E130" s="5" t="s">
        <v>453</v>
      </c>
      <c r="F130" s="5"/>
      <c r="G130" s="20">
        <f>SUM(K3:K102)</f>
        <v>0</v>
      </c>
      <c r="H130" s="20"/>
      <c r="I130" s="20"/>
      <c r="J130" s="20"/>
      <c r="K130" s="20"/>
      <c r="L130" s="20">
        <f>SUM(P3:P102)</f>
        <v>16260</v>
      </c>
      <c r="M130" s="20"/>
      <c r="N130" s="20"/>
      <c r="O130" s="20"/>
      <c r="P130" s="20"/>
      <c r="Q130" s="20">
        <f>SUM(U3:U102)</f>
        <v>15958</v>
      </c>
      <c r="R130" s="5"/>
      <c r="S130" s="5"/>
      <c r="T130" s="5" t="s">
        <v>454</v>
      </c>
      <c r="U130" s="5"/>
    </row>
    <row r="131" spans="1:22">
      <c r="E131" s="5" t="s">
        <v>455</v>
      </c>
      <c r="F131" s="5"/>
      <c r="G131" s="6">
        <f>AVERAGE(H3:H102)</f>
        <v>0</v>
      </c>
      <c r="H131" s="6"/>
      <c r="I131" s="6"/>
      <c r="J131" s="6"/>
      <c r="K131" s="6"/>
      <c r="L131" s="6">
        <f>AVERAGE(M3:M102)</f>
        <v>91</v>
      </c>
      <c r="M131" s="6"/>
      <c r="N131" s="6"/>
      <c r="O131" s="6"/>
      <c r="P131" s="6"/>
      <c r="Q131" s="6">
        <f>AVERAGE(R3:R102)</f>
        <v>88</v>
      </c>
      <c r="R131" s="5"/>
      <c r="S131" s="5"/>
      <c r="T131" s="5" t="s">
        <v>456</v>
      </c>
      <c r="U131" s="5"/>
    </row>
    <row r="132" spans="1:22">
      <c r="E132" s="5" t="s">
        <v>457</v>
      </c>
      <c r="F132" s="5"/>
      <c r="G132" s="6">
        <f>IF(G128+G130&gt;0, (G128/(G128+G130))*100, 0)</f>
        <v>0</v>
      </c>
      <c r="H132" s="6"/>
      <c r="I132" s="6"/>
      <c r="J132" s="6"/>
      <c r="K132" s="6"/>
      <c r="L132" s="6">
        <f>IF(L128+L130&gt;0, (L128/(L128+L130))*100, 0)</f>
        <v>0.55654088434958</v>
      </c>
      <c r="M132" s="6"/>
      <c r="N132" s="6"/>
      <c r="O132" s="6"/>
      <c r="P132" s="6"/>
      <c r="Q132" s="6">
        <f>IF(Q128+Q130&gt;0, (Q128/(Q128+Q130))*100, 0)</f>
        <v>0.5484232830612</v>
      </c>
      <c r="R132" s="5"/>
      <c r="S132" s="5"/>
      <c r="T132" s="5" t="s">
        <v>458</v>
      </c>
      <c r="U132" s="5"/>
    </row>
    <row r="133" spans="1:22">
      <c r="E133" s="5" t="s">
        <v>459</v>
      </c>
      <c r="F133" s="5"/>
      <c r="G133" s="6">
        <f>IF(G132+G131&gt;0, 2*G132*G131/(G132+G131), 0)</f>
        <v>0</v>
      </c>
      <c r="H133" s="6"/>
      <c r="I133" s="6"/>
      <c r="J133" s="6"/>
      <c r="K133" s="6"/>
      <c r="L133" s="6">
        <f>IF(L132+L131&gt;0, 2*L132*L131/(L132+L131), 0)</f>
        <v>1.10631572548781</v>
      </c>
      <c r="M133" s="6"/>
      <c r="N133" s="6"/>
      <c r="O133" s="6"/>
      <c r="P133" s="6"/>
      <c r="Q133" s="6">
        <f>IF(Q132+Q131&gt;0, 2*Q132*Q131/(Q132+Q131), 0)</f>
        <v>1.090053263966307</v>
      </c>
      <c r="R133" s="5"/>
      <c r="S133" s="5"/>
      <c r="T133" s="5" t="s">
        <v>460</v>
      </c>
      <c r="U133" s="5"/>
    </row>
    <row r="134" spans="1:22">
      <c r="E134" s="5" t="s">
        <v>461</v>
      </c>
      <c r="F134" s="5"/>
      <c r="G134" s="6">
        <f>G130/(100*(10469-1))*100</f>
        <v>0</v>
      </c>
      <c r="H134" s="6"/>
      <c r="I134" s="6"/>
      <c r="J134" s="6"/>
      <c r="K134" s="6"/>
      <c r="L134" s="6">
        <f>L130/(100*(10469-1))*100</f>
        <v>1.5533053114253</v>
      </c>
      <c r="M134" s="6"/>
      <c r="N134" s="6"/>
      <c r="O134" s="6"/>
      <c r="P134" s="6"/>
      <c r="Q134" s="6">
        <f>Q130/(100*(10469-1))*100</f>
        <v>1.52445548337791</v>
      </c>
      <c r="R134" s="5"/>
      <c r="S134" s="5"/>
      <c r="T134" s="5" t="s">
        <v>462</v>
      </c>
      <c r="U134" s="5"/>
    </row>
    <row r="135" spans="1:22">
      <c r="E135" s="5" t="s">
        <v>463</v>
      </c>
      <c r="F135" s="5"/>
      <c r="G135" s="6">
        <f>AVERAGE(I3:I102)</f>
        <v>0</v>
      </c>
      <c r="H135" s="6"/>
      <c r="I135" s="6"/>
      <c r="J135" s="6"/>
      <c r="K135" s="6"/>
      <c r="L135" s="6">
        <f>AVERAGE(N3:N102)</f>
        <v>4970.43000000000029</v>
      </c>
      <c r="M135" s="6"/>
      <c r="N135" s="6"/>
      <c r="O135" s="6"/>
      <c r="P135" s="6"/>
      <c r="Q135" s="6">
        <f>AVERAGE(S3:S102)</f>
        <v>4018.15999999999985</v>
      </c>
      <c r="R135" s="5"/>
      <c r="S135" s="5"/>
      <c r="T135" s="5" t="s">
        <v>464</v>
      </c>
      <c r="U135" s="5"/>
    </row>
    <row r="136" spans="1:22">
      <c r="E136" s="5" t="s">
        <v>465</v>
      </c>
      <c r="F136" s="5"/>
      <c r="G136" s="6">
        <f>AVERAGE(J3:J102)</f>
        <v>0</v>
      </c>
      <c r="H136" s="6"/>
      <c r="I136" s="6"/>
      <c r="J136" s="6"/>
      <c r="K136" s="6"/>
      <c r="L136" s="6">
        <f>AVERAGE(O3:O102)</f>
        <v>163.50999999999999</v>
      </c>
      <c r="M136" s="6"/>
      <c r="N136" s="6"/>
      <c r="O136" s="6"/>
      <c r="P136" s="6"/>
      <c r="Q136" s="6">
        <f>AVERAGE(T3:T102)</f>
        <v>160.46000000000001</v>
      </c>
      <c r="R136" s="5"/>
      <c r="S136" s="5"/>
      <c r="T136" s="5" t="s">
        <v>466</v>
      </c>
      <c r="U136" s="5"/>
    </row>
    <row r="137" spans="1:22">
      <c r="E137" s="5" t="s">
        <v>467</v>
      </c>
      <c r="F137" s="5"/>
      <c r="G137" s="6">
        <f>IF(G135&gt;0, (G135-G136)/G135*100, 0)</f>
        <v>0</v>
      </c>
      <c r="H137" s="6"/>
      <c r="I137" s="6"/>
      <c r="J137" s="6"/>
      <c r="K137" s="6"/>
      <c r="L137" s="6">
        <f>IF(L135&gt;0, (L135-L136)/L135*100, 0)</f>
        <v>96.71034498021297</v>
      </c>
      <c r="M137" s="6"/>
      <c r="N137" s="6"/>
      <c r="O137" s="6"/>
      <c r="P137" s="6"/>
      <c r="Q137" s="6">
        <f>IF(Q135&gt;0, (Q135-Q136)/Q135*100, 0)</f>
        <v>96.0066299002528467</v>
      </c>
      <c r="R137" s="5"/>
      <c r="S137" s="5"/>
      <c r="T137" s="5" t="s">
        <v>468</v>
      </c>
      <c r="U137" s="5"/>
    </row>
  </sheetData>
  <mergeCells>
    <mergeCell ref="A1:F1"/>
    <mergeCell ref="G1:K1"/>
    <mergeCell ref="L1:P1"/>
    <mergeCell ref="Q1:U1"/>
    <mergeCell ref="E105:U105"/>
    <mergeCell ref="E126:U1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6"/>
  <sheetViews>
    <sheetView tabSelected="0" workbookViewId="0" showGridLines="true" showRowColHeaders="1">
      <selection activeCell="B23" sqref="B23:D26"/>
    </sheetView>
  </sheetViews>
  <sheetFormatPr defaultRowHeight="14.4" outlineLevelRow="0" outlineLevelCol="0"/>
  <cols>
    <col min="1" max="1" width="110.83" bestFit="true" customWidth="true" style="0"/>
    <col min="2" max="2" width="26.422" bestFit="true" customWidth="true" style="0"/>
    <col min="3" max="3" width="29.707" bestFit="true" customWidth="true" style="0"/>
    <col min="4" max="4" width="29.707" bestFit="true" customWidth="true" style="0"/>
    <col min="5" max="5" width="102.546" bestFit="true" customWidth="true" style="0"/>
    <col min="6" max="6" width="16.853" bestFit="true" customWidth="true" style="0"/>
  </cols>
  <sheetData>
    <row r="1" spans="1:6">
      <c r="A1" s="21" t="s">
        <v>469</v>
      </c>
    </row>
    <row r="3" spans="1:6">
      <c r="A3" s="12" t="s">
        <v>470</v>
      </c>
    </row>
    <row r="4" spans="1:6">
      <c r="A4" s="1" t="s">
        <v>471</v>
      </c>
      <c r="B4" s="1" t="s">
        <v>472</v>
      </c>
      <c r="C4" s="1" t="s">
        <v>473</v>
      </c>
      <c r="D4" s="1" t="s">
        <v>474</v>
      </c>
      <c r="E4" s="1" t="s">
        <v>12</v>
      </c>
      <c r="F4" s="1" t="s">
        <v>457</v>
      </c>
    </row>
    <row r="5" spans="1:6">
      <c r="A5" s="7">
        <v>2</v>
      </c>
      <c r="B5" s="6">
        <v>52.76</v>
      </c>
      <c r="C5" s="6">
        <v>119.34</v>
      </c>
      <c r="D5" s="6">
        <v>3102.070000000000164</v>
      </c>
      <c r="E5" s="6">
        <v>76</v>
      </c>
      <c r="F5" s="6">
        <v>0.58</v>
      </c>
    </row>
    <row r="6" spans="1:6">
      <c r="A6" s="7">
        <v>3</v>
      </c>
      <c r="B6" s="6">
        <v>91.66</v>
      </c>
      <c r="C6" s="6">
        <v>41.73</v>
      </c>
      <c r="D6" s="6">
        <v>4018.15999999999985</v>
      </c>
      <c r="E6" s="6">
        <v>88</v>
      </c>
      <c r="F6" s="6">
        <v>0.55</v>
      </c>
    </row>
    <row r="7" spans="1:6">
      <c r="A7" s="7">
        <v>4</v>
      </c>
      <c r="B7" s="6">
        <v>117.079999999999998</v>
      </c>
      <c r="C7" s="6">
        <v>47.98</v>
      </c>
      <c r="D7" s="6">
        <v>5005.64000000000033</v>
      </c>
      <c r="E7" s="6">
        <v>90</v>
      </c>
      <c r="F7" s="6">
        <v>0.55</v>
      </c>
    </row>
    <row r="8" spans="1:6">
      <c r="A8" s="7">
        <v>5</v>
      </c>
      <c r="B8" s="6">
        <v>131.31999999999999</v>
      </c>
      <c r="C8" s="6">
        <v>126.73999999999999</v>
      </c>
      <c r="D8" s="6">
        <v>6034.51000000000022</v>
      </c>
      <c r="E8" s="6">
        <v>90</v>
      </c>
      <c r="F8" s="6">
        <v>0.55</v>
      </c>
    </row>
    <row r="11" spans="1:6">
      <c r="A11" s="12" t="s">
        <v>475</v>
      </c>
    </row>
    <row r="12" spans="1:6">
      <c r="A12" s="1" t="s">
        <v>476</v>
      </c>
      <c r="B12" s="1" t="s">
        <v>472</v>
      </c>
      <c r="C12" s="1" t="s">
        <v>12</v>
      </c>
      <c r="D12" s="1" t="s">
        <v>457</v>
      </c>
      <c r="E12" s="1" t="s">
        <v>477</v>
      </c>
    </row>
    <row r="13" spans="1:6">
      <c r="A13" s="7" t="s">
        <v>478</v>
      </c>
      <c r="B13" s="6">
        <v>70.73999999999999</v>
      </c>
      <c r="C13" s="6">
        <v>96</v>
      </c>
      <c r="D13" s="6">
        <v>0.47</v>
      </c>
      <c r="E13" s="5" t="s">
        <v>479</v>
      </c>
    </row>
    <row r="14" spans="1:6">
      <c r="A14" s="7" t="s">
        <v>480</v>
      </c>
      <c r="B14" s="6">
        <v>83.36</v>
      </c>
      <c r="C14" s="6">
        <v>96</v>
      </c>
      <c r="D14" s="6">
        <v>0.52</v>
      </c>
      <c r="E14" s="5" t="s">
        <v>481</v>
      </c>
    </row>
    <row r="15" spans="1:6">
      <c r="A15" s="7" t="s">
        <v>482</v>
      </c>
      <c r="B15" s="6">
        <v>50.54</v>
      </c>
      <c r="C15" s="6">
        <v>96</v>
      </c>
      <c r="D15" s="6">
        <v>0.55</v>
      </c>
      <c r="E15" s="5" t="s">
        <v>483</v>
      </c>
    </row>
    <row r="16" spans="1:6">
      <c r="A16" s="7" t="s">
        <v>484</v>
      </c>
      <c r="B16" s="6">
        <v>60.66</v>
      </c>
      <c r="C16" s="6">
        <v>88</v>
      </c>
      <c r="D16" s="6">
        <v>0.55</v>
      </c>
      <c r="E16" s="5" t="s">
        <v>485</v>
      </c>
    </row>
    <row r="17" spans="1:6">
      <c r="A17" s="7" t="s">
        <v>486</v>
      </c>
      <c r="B17" s="6">
        <v>61.95</v>
      </c>
      <c r="C17" s="6">
        <v>59</v>
      </c>
      <c r="D17" s="6">
        <v>0.64</v>
      </c>
      <c r="E17" s="5" t="s">
        <v>487</v>
      </c>
    </row>
    <row r="18" spans="1:6">
      <c r="A18" s="7" t="s">
        <v>488</v>
      </c>
      <c r="B18" s="6">
        <v>62.090000000000003</v>
      </c>
      <c r="C18" s="6">
        <v>17</v>
      </c>
      <c r="D18" s="6">
        <v>0.37</v>
      </c>
      <c r="E18" s="5" t="s">
        <v>489</v>
      </c>
    </row>
    <row r="21" spans="1:6">
      <c r="A21" s="12" t="s">
        <v>490</v>
      </c>
    </row>
    <row r="22" spans="1:6">
      <c r="A22" s="1" t="s">
        <v>491</v>
      </c>
      <c r="B22" s="1" t="s">
        <v>472</v>
      </c>
      <c r="C22" s="1" t="s">
        <v>474</v>
      </c>
      <c r="D22" s="1" t="s">
        <v>12</v>
      </c>
    </row>
    <row r="23" spans="1:6">
      <c r="A23" s="7">
        <v>0.3</v>
      </c>
      <c r="B23" s="6">
        <v>226.53999999999999</v>
      </c>
      <c r="C23" s="6">
        <v>6069.43000000000029</v>
      </c>
      <c r="D23" s="6">
        <v>91</v>
      </c>
    </row>
    <row r="24" spans="1:6">
      <c r="A24" s="7">
        <v>0.4</v>
      </c>
      <c r="B24" s="6">
        <v>250.28</v>
      </c>
      <c r="C24" s="6">
        <v>4970.43000000000029</v>
      </c>
      <c r="D24" s="6">
        <v>91</v>
      </c>
    </row>
    <row r="25" spans="1:6">
      <c r="A25" s="7">
        <v>0.5</v>
      </c>
      <c r="B25" s="6">
        <v>221.80000000000001</v>
      </c>
      <c r="C25" s="6">
        <v>4123.020000000000437</v>
      </c>
      <c r="D25" s="6">
        <v>91</v>
      </c>
    </row>
    <row r="26" spans="1:6">
      <c r="A26" s="7">
        <v>0.6</v>
      </c>
      <c r="B26" s="6">
        <v>231.69999999999999</v>
      </c>
      <c r="C26" s="6">
        <v>3153.28999999999996</v>
      </c>
      <c r="D26" s="6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J5" sqref="J5:J10"/>
    </sheetView>
  </sheetViews>
  <sheetFormatPr defaultRowHeight="14.4" outlineLevelRow="0" outlineLevelCol="0"/>
  <cols>
    <col min="1" max="1" width="157.105" bestFit="true" customWidth="true" style="0"/>
    <col min="2" max="2" width="22.138" bestFit="true" customWidth="true" style="0"/>
    <col min="3" max="3" width="22.138" bestFit="true" customWidth="true" style="0"/>
    <col min="4" max="4" width="23.137" bestFit="true" customWidth="true" style="0"/>
    <col min="5" max="5" width="23.137" bestFit="true" customWidth="true" style="0"/>
    <col min="6" max="6" width="26.422" bestFit="true" customWidth="true" style="0"/>
    <col min="7" max="7" width="24.423" bestFit="true" customWidth="true" style="0"/>
    <col min="8" max="8" width="26.422" bestFit="true" customWidth="true" style="0"/>
    <col min="9" max="9" width="24.423" bestFit="true" customWidth="true" style="0"/>
    <col min="10" max="10" width="40.419" bestFit="true" customWidth="true" style="0"/>
  </cols>
  <sheetData>
    <row r="1" spans="1:10">
      <c r="A1" s="21" t="s">
        <v>492</v>
      </c>
    </row>
    <row r="2" spans="1:10">
      <c r="A2" s="23" t="s">
        <v>493</v>
      </c>
    </row>
    <row r="4" spans="1:10">
      <c r="A4" s="1" t="s">
        <v>494</v>
      </c>
      <c r="B4" s="1" t="s">
        <v>495</v>
      </c>
      <c r="C4" s="1" t="s">
        <v>496</v>
      </c>
      <c r="D4" s="1" t="s">
        <v>497</v>
      </c>
      <c r="E4" s="1" t="s">
        <v>498</v>
      </c>
      <c r="F4" s="1" t="s">
        <v>499</v>
      </c>
      <c r="G4" s="1" t="s">
        <v>500</v>
      </c>
      <c r="H4" s="1" t="s">
        <v>501</v>
      </c>
      <c r="I4" s="1" t="s">
        <v>502</v>
      </c>
      <c r="J4" s="1" t="s">
        <v>503</v>
      </c>
    </row>
    <row r="5" spans="1:10">
      <c r="A5" s="20">
        <v>10469</v>
      </c>
      <c r="B5" s="20">
        <v>110102</v>
      </c>
      <c r="C5" s="24">
        <f>(B5*128)/(1024*1024)</f>
        <v>13.440185546875</v>
      </c>
      <c r="D5" s="20">
        <v>879327</v>
      </c>
      <c r="E5" s="24">
        <f>(D5*128)/(1024*1024)</f>
        <v>107.3397216796875</v>
      </c>
      <c r="F5" s="20">
        <v>330306</v>
      </c>
      <c r="G5" s="24">
        <f>(F5*128)/(1024*1024)</f>
        <v>40.320556640625</v>
      </c>
      <c r="H5" s="20">
        <v>550510</v>
      </c>
      <c r="I5" s="24">
        <f>(H5*128)/(1024*1024)</f>
        <v>67.200927734375</v>
      </c>
      <c r="J5" s="25">
        <f>(D5-F5)/D5</f>
        <v>0.62436499732182</v>
      </c>
    </row>
    <row r="6" spans="1:10">
      <c r="A6" s="20">
        <v>50000</v>
      </c>
      <c r="B6" s="20">
        <f>ROUND(110102*(A6/10469), 0)</f>
        <v>525848</v>
      </c>
      <c r="C6" s="24">
        <f>(B6*128)/(1024*1024)</f>
        <v>64.1904296875</v>
      </c>
      <c r="D6" s="20">
        <f>ROUND(879327*(A6/10469), 0)</f>
        <v>4199670</v>
      </c>
      <c r="E6" s="24">
        <f>(D6*128)/(1024*1024)</f>
        <v>512.655029296875</v>
      </c>
      <c r="F6" s="20">
        <f>ROUND(330306*(A6/10469), 0)</f>
        <v>1577543</v>
      </c>
      <c r="G6" s="24">
        <f>(F6*128)/(1024*1024)</f>
        <v>192.5711669921875</v>
      </c>
      <c r="H6" s="20">
        <f>ROUND(550510*(A6/10469), 0)</f>
        <v>2629239</v>
      </c>
      <c r="I6" s="24">
        <f>(H6*128)/(1024*1024)</f>
        <v>320.9520263671875</v>
      </c>
      <c r="J6" s="25">
        <f>(D6-F6)/D6</f>
        <v>0.62436500963171</v>
      </c>
    </row>
    <row r="7" spans="1:10">
      <c r="A7" s="20">
        <v>100000</v>
      </c>
      <c r="B7" s="20">
        <f>ROUND(110102*(A7/10469), 0)</f>
        <v>1051695</v>
      </c>
      <c r="C7" s="24">
        <f>(B7*128)/(1024*1024)</f>
        <v>128.3807373046875</v>
      </c>
      <c r="D7" s="20">
        <f>ROUND(879327*(A7/10469), 0)</f>
        <v>8399341</v>
      </c>
      <c r="E7" s="24">
        <f>(D7*128)/(1024*1024)</f>
        <v>1025.3101806640625</v>
      </c>
      <c r="F7" s="20">
        <f>ROUND(330306*(A7/10469), 0)</f>
        <v>3155086</v>
      </c>
      <c r="G7" s="24">
        <f>(F7*128)/(1024*1024)</f>
        <v>385.142333984375</v>
      </c>
      <c r="H7" s="20">
        <f>ROUND(550510*(A7/10469), 0)</f>
        <v>5258477</v>
      </c>
      <c r="I7" s="24">
        <f>(H7*128)/(1024*1024)</f>
        <v>641.9039306640625</v>
      </c>
      <c r="J7" s="25">
        <f>(D7-F7)/D7</f>
        <v>0.62436505435367</v>
      </c>
    </row>
    <row r="8" spans="1:10">
      <c r="A8" s="20">
        <v>250000</v>
      </c>
      <c r="B8" s="20">
        <f>ROUND(110102*(A8/10469), 0)</f>
        <v>2629239</v>
      </c>
      <c r="C8" s="24">
        <f>(B8*128)/(1024*1024)</f>
        <v>320.9520263671875</v>
      </c>
      <c r="D8" s="20">
        <f>ROUND(879327*(A8/10469), 0)</f>
        <v>20998352</v>
      </c>
      <c r="E8" s="24">
        <f>(D8*128)/(1024*1024)</f>
        <v>2563.275390625</v>
      </c>
      <c r="F8" s="20">
        <f>ROUND(330306*(A8/10469), 0)</f>
        <v>7887716</v>
      </c>
      <c r="G8" s="24">
        <f>(F8*128)/(1024*1024)</f>
        <v>962.85595703125</v>
      </c>
      <c r="H8" s="20">
        <f>ROUND(550510*(A8/10469), 0)</f>
        <v>13146194</v>
      </c>
      <c r="I8" s="24">
        <f>(H8*128)/(1024*1024)</f>
        <v>1604.760009765625</v>
      </c>
      <c r="J8" s="25">
        <f>(D8-F8)/D8</f>
        <v>0.62436499778649</v>
      </c>
    </row>
    <row r="9" spans="1:10">
      <c r="A9" s="20">
        <v>500000</v>
      </c>
      <c r="B9" s="20">
        <f>ROUND(110102*(A9/10469), 0)</f>
        <v>5258477</v>
      </c>
      <c r="C9" s="24">
        <f>(B9*128)/(1024*1024)</f>
        <v>641.9039306640625</v>
      </c>
      <c r="D9" s="20">
        <f>ROUND(879327*(A9/10469), 0)</f>
        <v>41996705</v>
      </c>
      <c r="E9" s="24">
        <f>(D9*128)/(1024*1024)</f>
        <v>5126.5509033203125</v>
      </c>
      <c r="F9" s="20">
        <f>ROUND(330306*(A9/10469), 0)</f>
        <v>15775432</v>
      </c>
      <c r="G9" s="24">
        <f>(F9*128)/(1024*1024)</f>
        <v>1925.7119140625</v>
      </c>
      <c r="H9" s="20">
        <f>ROUND(550510*(A9/10469), 0)</f>
        <v>26292387</v>
      </c>
      <c r="I9" s="24">
        <f>(H9*128)/(1024*1024)</f>
        <v>3209.5198974609375</v>
      </c>
      <c r="J9" s="25">
        <f>(D9-F9)/D9</f>
        <v>0.62436500673089</v>
      </c>
    </row>
    <row r="10" spans="1:10">
      <c r="A10" s="20">
        <v>1000000</v>
      </c>
      <c r="B10" s="20">
        <f>ROUND(110102*(A10/10469), 0)</f>
        <v>10516955</v>
      </c>
      <c r="C10" s="24">
        <f>(B10*128)/(1024*1024)</f>
        <v>1283.8079833984375</v>
      </c>
      <c r="D10" s="20">
        <f>ROUND(879327*(A10/10469), 0)</f>
        <v>83993409</v>
      </c>
      <c r="E10" s="24">
        <f>(D10*128)/(1024*1024)</f>
        <v>10253.1016845703125</v>
      </c>
      <c r="F10" s="20">
        <f>ROUND(330306*(A10/10469), 0)</f>
        <v>31550864</v>
      </c>
      <c r="G10" s="24">
        <f>(F10*128)/(1024*1024)</f>
        <v>3851.423828125</v>
      </c>
      <c r="H10" s="20">
        <f>ROUND(550510*(A10/10469), 0)</f>
        <v>52584774</v>
      </c>
      <c r="I10" s="24">
        <f>(H10*128)/(1024*1024)</f>
        <v>6419.039794921875</v>
      </c>
      <c r="J10" s="25">
        <f>(D10-F10)/D10</f>
        <v>0.62436500225869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15"/>
  <sheetViews>
    <sheetView tabSelected="0" workbookViewId="0" showGridLines="true" showRowColHeaders="1">
      <selection activeCell="L16" sqref="L16:L115"/>
    </sheetView>
  </sheetViews>
  <sheetFormatPr defaultRowHeight="14.4" outlineLevelRow="0" outlineLevelCol="0"/>
  <cols>
    <col min="1" max="1" width="229.944" bestFit="true" customWidth="true" style="0"/>
    <col min="2" max="2" width="39.99" bestFit="true" customWidth="true" style="0"/>
    <col min="3" max="3" width="20.138" bestFit="true" customWidth="true" style="0"/>
    <col min="4" max="4" width="21.138" bestFit="true" customWidth="true" style="0"/>
    <col min="5" max="5" width="18.71" bestFit="true" customWidth="true" style="0"/>
    <col min="6" max="6" width="23.137" bestFit="true" customWidth="true" style="0"/>
    <col min="7" max="7" width="130.825" bestFit="true" customWidth="true" style="0"/>
    <col min="8" max="8" width="29.707" bestFit="true" customWidth="true" style="0"/>
    <col min="9" max="9" width="17.853" bestFit="true" customWidth="true" style="0"/>
    <col min="10" max="10" width="21.138" bestFit="true" customWidth="true" style="0"/>
    <col min="11" max="11" width="37.277" bestFit="true" customWidth="true" style="0"/>
    <col min="12" max="12" width="33.992" bestFit="true" customWidth="true" style="0"/>
    <col min="13" max="13" width="13.568" bestFit="true" customWidth="true" style="0"/>
    <col min="14" max="14" width="29.707" bestFit="true" customWidth="true" style="0"/>
  </cols>
  <sheetData>
    <row r="1" spans="1:14">
      <c r="A1" s="21" t="s">
        <v>504</v>
      </c>
    </row>
    <row r="3" spans="1:14">
      <c r="A3" s="12" t="s">
        <v>505</v>
      </c>
    </row>
    <row r="4" spans="1:14">
      <c r="A4" s="1" t="s">
        <v>506</v>
      </c>
      <c r="B4" s="1" t="s">
        <v>507</v>
      </c>
      <c r="C4" s="1" t="s">
        <v>508</v>
      </c>
      <c r="D4" s="1" t="s">
        <v>509</v>
      </c>
      <c r="E4" s="1" t="s">
        <v>510</v>
      </c>
      <c r="F4" s="1" t="s">
        <v>511</v>
      </c>
      <c r="G4" s="1" t="s">
        <v>512</v>
      </c>
      <c r="H4" s="1" t="s">
        <v>513</v>
      </c>
      <c r="I4" s="1" t="s">
        <v>514</v>
      </c>
      <c r="J4" s="1" t="s">
        <v>515</v>
      </c>
      <c r="K4" s="1" t="s">
        <v>516</v>
      </c>
      <c r="L4" s="1" t="s">
        <v>517</v>
      </c>
      <c r="M4" s="1" t="s">
        <v>518</v>
      </c>
      <c r="N4" s="1" t="s">
        <v>519</v>
      </c>
    </row>
    <row r="5" spans="1:14">
      <c r="A5" s="5" t="s">
        <v>520</v>
      </c>
      <c r="B5" s="7">
        <f>COUNT(H16:H35)</f>
        <v>20</v>
      </c>
      <c r="C5" s="32">
        <f>AVERAGE(I16:I35)</f>
        <v>0</v>
      </c>
      <c r="D5" s="32">
        <f>AVERAGE(K16:K35)</f>
        <v>70</v>
      </c>
      <c r="E5" s="32">
        <f>AVERAGE(M16:M35)</f>
        <v>60</v>
      </c>
      <c r="F5" s="6">
        <f>AVERAGE(J16:J35)</f>
        <v>151.87100000000001</v>
      </c>
      <c r="G5" s="6">
        <f>AVERAGE(L16:L35)</f>
        <v>81.26450000000001</v>
      </c>
      <c r="H5" s="25">
        <f>(F5-G5)/F5</f>
        <v>0.46491101000191</v>
      </c>
      <c r="I5" s="6">
        <f>_xlfn.STDEV.S(J16:J35)</f>
        <v>46.23116594041865</v>
      </c>
      <c r="J5" s="6">
        <f>_xlfn.STDEV.S(L16:L35)</f>
        <v>61.55534689461012</v>
      </c>
      <c r="K5" s="5" t="str">
        <f>TEXT(F5,"0.00")&amp;" ± "&amp;TEXT(I5,"0.0")</f>
        <v>151.87 ± 46.2</v>
      </c>
      <c r="L5" s="5" t="str">
        <f>TEXT(G5,"0.00")&amp;" ± "&amp;TEXT(J5,"0.0")</f>
        <v>81.26 ± 61.6</v>
      </c>
      <c r="M5" s="16">
        <f>AVERAGE(N16:N35)/(_xlfn.STDEV.S(N16:N35)/SQRT(COUNT(N16:N35)))</f>
        <v>5.65767621430612</v>
      </c>
      <c r="N5" s="5">
        <f>COUNT(N16:N35)-1</f>
        <v>19</v>
      </c>
    </row>
    <row r="6" spans="1:14">
      <c r="A6" s="5" t="s">
        <v>521</v>
      </c>
      <c r="B6" s="7">
        <f>COUNT(H36:H55)</f>
        <v>20</v>
      </c>
      <c r="C6" s="32">
        <f>AVERAGE(I36:I55)</f>
        <v>0</v>
      </c>
      <c r="D6" s="32">
        <f>AVERAGE(K36:K55)</f>
        <v>95</v>
      </c>
      <c r="E6" s="32">
        <f>AVERAGE(M36:M55)</f>
        <v>95</v>
      </c>
      <c r="F6" s="6">
        <f>AVERAGE(J36:J55)</f>
        <v>197.095999999999975</v>
      </c>
      <c r="G6" s="6">
        <f>AVERAGE(L36:L55)</f>
        <v>81.30300000000001</v>
      </c>
      <c r="H6" s="25">
        <f>(F6-G6)/F6</f>
        <v>0.58749543369728</v>
      </c>
      <c r="I6" s="6">
        <f>_xlfn.STDEV.S(J36:J55)</f>
        <v>67.14182925560991</v>
      </c>
      <c r="J6" s="6">
        <f>_xlfn.STDEV.S(L36:L55)</f>
        <v>37.71054398133788</v>
      </c>
      <c r="K6" s="5" t="str">
        <f>TEXT(F6,"0.00")&amp;" ± "&amp;TEXT(I6,"0.0")</f>
        <v>197.10 ± 67.1</v>
      </c>
      <c r="L6" s="5" t="str">
        <f>TEXT(G6,"0.00")&amp;" ± "&amp;TEXT(J6,"0.0")</f>
        <v>81.30 ± 37.7</v>
      </c>
      <c r="M6" s="16">
        <f>AVERAGE(N36:N55)/(_xlfn.STDEV.S(N36:N55)/SQRT(COUNT(N36:N55)))</f>
        <v>7.71891635837377</v>
      </c>
      <c r="N6" s="5">
        <f>COUNT(N36:N55)-1</f>
        <v>19</v>
      </c>
    </row>
    <row r="7" spans="1:14">
      <c r="A7" s="5" t="s">
        <v>522</v>
      </c>
      <c r="B7" s="7">
        <f>COUNT(H56:H75)</f>
        <v>20</v>
      </c>
      <c r="C7" s="32">
        <f>AVERAGE(I56:I75)</f>
        <v>0</v>
      </c>
      <c r="D7" s="32">
        <f>AVERAGE(K56:K75)</f>
        <v>100</v>
      </c>
      <c r="E7" s="32">
        <f>AVERAGE(M56:M75)</f>
        <v>100</v>
      </c>
      <c r="F7" s="6">
        <f>AVERAGE(J56:J75)</f>
        <v>252.58100000000005</v>
      </c>
      <c r="G7" s="6">
        <f>AVERAGE(L56:L75)</f>
        <v>79.43400000000003</v>
      </c>
      <c r="H7" s="25">
        <f>(F7-G7)/F7</f>
        <v>0.68551078663874</v>
      </c>
      <c r="I7" s="6">
        <f>_xlfn.STDEV.S(J56:J75)</f>
        <v>67.067628625691384</v>
      </c>
      <c r="J7" s="6">
        <f>_xlfn.STDEV.S(L56:L75)</f>
        <v>33.97686726985997</v>
      </c>
      <c r="K7" s="5" t="str">
        <f>TEXT(F7,"0.00")&amp;" ± "&amp;TEXT(I7,"0.0")</f>
        <v>252.58 ± 67.1</v>
      </c>
      <c r="L7" s="5" t="str">
        <f>TEXT(G7,"0.00")&amp;" ± "&amp;TEXT(J7,"0.0")</f>
        <v>79.43 ± 34.0</v>
      </c>
      <c r="M7" s="16">
        <f>AVERAGE(N56:N75)/(_xlfn.STDEV.S(N56:N75)/SQRT(COUNT(N56:N75)))</f>
        <v>11.77262920229734</v>
      </c>
      <c r="N7" s="5">
        <f>COUNT(N56:N75)-1</f>
        <v>19</v>
      </c>
    </row>
    <row r="8" spans="1:14">
      <c r="A8" s="5" t="s">
        <v>523</v>
      </c>
      <c r="B8" s="7">
        <f>COUNT(H76:H95)</f>
        <v>20</v>
      </c>
      <c r="C8" s="32">
        <f>AVERAGE(I76:I95)</f>
        <v>0</v>
      </c>
      <c r="D8" s="32">
        <f>AVERAGE(K76:K95)</f>
        <v>35</v>
      </c>
      <c r="E8" s="32">
        <f>AVERAGE(M76:M95)</f>
        <v>35</v>
      </c>
      <c r="F8" s="6">
        <f>AVERAGE(J76:J95)</f>
        <v>182.85400000000001</v>
      </c>
      <c r="G8" s="6">
        <f>AVERAGE(L76:L95)</f>
        <v>73.36</v>
      </c>
      <c r="H8" s="25">
        <f>(F8-G8)/F8</f>
        <v>0.59880560447133</v>
      </c>
      <c r="I8" s="6">
        <f>_xlfn.STDEV.S(J76:J95)</f>
        <v>65.64538051651384</v>
      </c>
      <c r="J8" s="6">
        <f>_xlfn.STDEV.S(L76:L95)</f>
        <v>33.43552271084403</v>
      </c>
      <c r="K8" s="5" t="str">
        <f>TEXT(F8,"0.00")&amp;" ± "&amp;TEXT(I8,"0.0")</f>
        <v>182.85 ± 65.6</v>
      </c>
      <c r="L8" s="5" t="str">
        <f>TEXT(G8,"0.00")&amp;" ± "&amp;TEXT(J8,"0.0")</f>
        <v>73.36 ± 33.4</v>
      </c>
      <c r="M8" s="16">
        <f>AVERAGE(N76:N95)/(_xlfn.STDEV.S(N76:N95)/SQRT(COUNT(N76:N95)))</f>
        <v>8.76876000966411</v>
      </c>
      <c r="N8" s="5">
        <f>COUNT(N76:N95)-1</f>
        <v>19</v>
      </c>
    </row>
    <row r="9" spans="1:14">
      <c r="A9" s="5" t="s">
        <v>524</v>
      </c>
      <c r="B9" s="7">
        <f>COUNT(H96:H115)</f>
        <v>20</v>
      </c>
      <c r="C9" s="32">
        <f>AVERAGE(I96:I115)</f>
        <v>0</v>
      </c>
      <c r="D9" s="32">
        <f>AVERAGE(K96:K115)</f>
        <v>25</v>
      </c>
      <c r="E9" s="32">
        <f>AVERAGE(M96:M115)</f>
        <v>25</v>
      </c>
      <c r="F9" s="6">
        <f>AVERAGE(J96:J115)</f>
        <v>201.40349999999998</v>
      </c>
      <c r="G9" s="6">
        <f>AVERAGE(L96:L115)</f>
        <v>86.34700000000001</v>
      </c>
      <c r="H9" s="25">
        <f>(F9-G9)/F9</f>
        <v>0.57127358759902</v>
      </c>
      <c r="I9" s="6">
        <f>_xlfn.STDEV.S(J96:J115)</f>
        <v>71.39305555754078</v>
      </c>
      <c r="J9" s="6">
        <f>_xlfn.STDEV.S(L96:L115)</f>
        <v>39.12797264308356</v>
      </c>
      <c r="K9" s="5" t="str">
        <f>TEXT(F9,"0.00")&amp;" ± "&amp;TEXT(I9,"0.0")</f>
        <v>201.40 ± 71.4</v>
      </c>
      <c r="L9" s="5" t="str">
        <f>TEXT(G9,"0.00")&amp;" ± "&amp;TEXT(J9,"0.0")</f>
        <v>86.35 ± 39.1</v>
      </c>
      <c r="M9" s="16">
        <f>AVERAGE(N96:N115)/(_xlfn.STDEV.S(N96:N115)/SQRT(COUNT(N96:N115)))</f>
        <v>9.055037126726823</v>
      </c>
      <c r="N9" s="5">
        <f>COUNT(N96:N115)-1</f>
        <v>19</v>
      </c>
    </row>
    <row r="10" spans="1:14">
      <c r="A10" s="27" t="s">
        <v>525</v>
      </c>
      <c r="B10" s="30">
        <f>COUNT(H16:H115)</f>
        <v>100</v>
      </c>
      <c r="C10" s="33">
        <f>AVERAGE(I16:I115)</f>
        <v>0</v>
      </c>
      <c r="D10" s="33">
        <f>AVERAGE(K16:K115)</f>
        <v>65</v>
      </c>
      <c r="E10" s="33">
        <f>AVERAGE(M16:M115)</f>
        <v>63</v>
      </c>
      <c r="F10" s="28">
        <f>AVERAGE(J16:J115)</f>
        <v>197.16109999999998</v>
      </c>
      <c r="G10" s="28">
        <f>AVERAGE(L16:L115)</f>
        <v>80.3417</v>
      </c>
      <c r="H10" s="35">
        <f>(F10-G10)/F10</f>
        <v>0.59250734551593</v>
      </c>
      <c r="I10" s="28">
        <f>_xlfn.STDEV.S(J16:J115)</f>
        <v>70.87827955671048</v>
      </c>
      <c r="J10" s="28">
        <f>_xlfn.STDEV.S(L16:L115)</f>
        <v>41.80567802658658</v>
      </c>
      <c r="K10" s="27" t="str">
        <f>TEXT(F10,"0.00")&amp;" ± "&amp;TEXT(I10,"0.0")</f>
        <v>197.16 ± 70.9</v>
      </c>
      <c r="L10" s="27" t="str">
        <f>TEXT(G10,"0.00")&amp;" ± "&amp;TEXT(J10,"0.0")</f>
        <v>80.34 ± 41.8</v>
      </c>
      <c r="M10" s="29">
        <f>AVERAGE(N16:N115)/(_xlfn.STDEV.S(N16:N115)/SQRT(COUNT(N16:N115)))</f>
        <v>17.23501807324446</v>
      </c>
      <c r="N10" s="27">
        <f>COUNT(N16:N115)-1</f>
        <v>99</v>
      </c>
    </row>
    <row r="11" spans="1:14">
      <c r="B11" s="31"/>
      <c r="C11" s="34"/>
      <c r="D11" s="34"/>
      <c r="E11" s="34"/>
      <c r="F11" s="26"/>
      <c r="G11" s="26"/>
      <c r="H11" s="36"/>
    </row>
    <row r="12" spans="1:14">
      <c r="A12" s="22" t="s">
        <v>526</v>
      </c>
    </row>
    <row r="14" spans="1:14">
      <c r="A14" s="12" t="s">
        <v>527</v>
      </c>
    </row>
    <row r="15" spans="1:14">
      <c r="A15" s="1" t="s">
        <v>5</v>
      </c>
      <c r="B15" s="1" t="s">
        <v>528</v>
      </c>
      <c r="C15" s="1" t="s">
        <v>6</v>
      </c>
      <c r="D15" s="1" t="s">
        <v>7</v>
      </c>
      <c r="E15" s="1" t="s">
        <v>8</v>
      </c>
      <c r="F15" s="1" t="s">
        <v>529</v>
      </c>
      <c r="G15" s="1" t="s">
        <v>530</v>
      </c>
      <c r="H15" s="1" t="s">
        <v>531</v>
      </c>
      <c r="I15" s="1" t="s">
        <v>532</v>
      </c>
      <c r="J15" s="1" t="s">
        <v>533</v>
      </c>
      <c r="K15" s="1" t="s">
        <v>534</v>
      </c>
      <c r="L15" s="1" t="s">
        <v>535</v>
      </c>
      <c r="M15" s="1" t="s">
        <v>536</v>
      </c>
      <c r="N15" s="1" t="s">
        <v>16</v>
      </c>
    </row>
    <row r="16" spans="1:14">
      <c r="A16" s="7">
        <v>1</v>
      </c>
      <c r="B16" s="5" t="s">
        <v>520</v>
      </c>
      <c r="C16" s="7" t="s">
        <v>537</v>
      </c>
      <c r="D16" s="5" t="s">
        <v>538</v>
      </c>
      <c r="E16" s="5" t="s">
        <v>539</v>
      </c>
      <c r="F16" s="7">
        <v>5</v>
      </c>
      <c r="G16" s="5" t="s">
        <v>540</v>
      </c>
      <c r="H16" s="6">
        <v>2.17</v>
      </c>
      <c r="I16" s="7">
        <v>0</v>
      </c>
      <c r="J16" s="6">
        <v>213.47</v>
      </c>
      <c r="K16" s="7">
        <v>100</v>
      </c>
      <c r="L16" s="6">
        <v>284.47000000000003</v>
      </c>
      <c r="M16" s="7">
        <v>100</v>
      </c>
      <c r="N16" s="6">
        <f>J16-L16</f>
        <v>-71</v>
      </c>
    </row>
    <row r="17" spans="1:14">
      <c r="A17" s="7">
        <v>2</v>
      </c>
      <c r="B17" s="5" t="s">
        <v>520</v>
      </c>
      <c r="C17" s="7" t="s">
        <v>537</v>
      </c>
      <c r="D17" s="5" t="s">
        <v>541</v>
      </c>
      <c r="E17" s="5" t="s">
        <v>542</v>
      </c>
      <c r="F17" s="7">
        <v>5</v>
      </c>
      <c r="G17" s="5" t="s">
        <v>540</v>
      </c>
      <c r="H17" s="6">
        <v>2.05</v>
      </c>
      <c r="I17" s="7">
        <v>0</v>
      </c>
      <c r="J17" s="6">
        <v>155.90000000000001</v>
      </c>
      <c r="K17" s="7">
        <v>0</v>
      </c>
      <c r="L17" s="6">
        <v>67.55</v>
      </c>
      <c r="M17" s="7">
        <v>0</v>
      </c>
      <c r="N17" s="6">
        <f>J17-L17</f>
        <v>88.35000000000001</v>
      </c>
    </row>
    <row r="18" spans="1:14">
      <c r="A18" s="7">
        <v>3</v>
      </c>
      <c r="B18" s="5" t="s">
        <v>520</v>
      </c>
      <c r="C18" s="7" t="s">
        <v>537</v>
      </c>
      <c r="D18" s="5" t="s">
        <v>543</v>
      </c>
      <c r="E18" s="5" t="s">
        <v>544</v>
      </c>
      <c r="F18" s="7">
        <v>5</v>
      </c>
      <c r="G18" s="5" t="s">
        <v>540</v>
      </c>
      <c r="H18" s="6">
        <v>1.98</v>
      </c>
      <c r="I18" s="7">
        <v>0</v>
      </c>
      <c r="J18" s="6">
        <v>110.41</v>
      </c>
      <c r="K18" s="7">
        <v>100</v>
      </c>
      <c r="L18" s="6">
        <v>103.55</v>
      </c>
      <c r="M18" s="7">
        <v>100</v>
      </c>
      <c r="N18" s="6">
        <f>J18-L18</f>
        <v>6.86</v>
      </c>
    </row>
    <row r="19" spans="1:14">
      <c r="A19" s="7">
        <v>4</v>
      </c>
      <c r="B19" s="5" t="s">
        <v>520</v>
      </c>
      <c r="C19" s="7" t="s">
        <v>537</v>
      </c>
      <c r="D19" s="5" t="s">
        <v>545</v>
      </c>
      <c r="E19" s="5" t="s">
        <v>546</v>
      </c>
      <c r="F19" s="7">
        <v>5</v>
      </c>
      <c r="G19" s="5" t="s">
        <v>540</v>
      </c>
      <c r="H19" s="6">
        <v>1.18</v>
      </c>
      <c r="I19" s="7">
        <v>0</v>
      </c>
      <c r="J19" s="6">
        <v>91.61</v>
      </c>
      <c r="K19" s="7">
        <v>100</v>
      </c>
      <c r="L19" s="6">
        <v>54.26</v>
      </c>
      <c r="M19" s="7">
        <v>100</v>
      </c>
      <c r="N19" s="6">
        <f>J19-L19</f>
        <v>37.35</v>
      </c>
    </row>
    <row r="20" spans="1:14">
      <c r="A20" s="7">
        <v>5</v>
      </c>
      <c r="B20" s="5" t="s">
        <v>520</v>
      </c>
      <c r="C20" s="7" t="s">
        <v>547</v>
      </c>
      <c r="D20" s="5" t="s">
        <v>548</v>
      </c>
      <c r="E20" s="5" t="s">
        <v>549</v>
      </c>
      <c r="F20" s="7">
        <v>5</v>
      </c>
      <c r="G20" s="5" t="s">
        <v>550</v>
      </c>
      <c r="H20" s="6">
        <v>1.42</v>
      </c>
      <c r="I20" s="7">
        <v>0</v>
      </c>
      <c r="J20" s="6">
        <v>165.36000000000001</v>
      </c>
      <c r="K20" s="7">
        <v>100</v>
      </c>
      <c r="L20" s="6">
        <v>57.84</v>
      </c>
      <c r="M20" s="7">
        <v>0</v>
      </c>
      <c r="N20" s="6">
        <f>J20-L20</f>
        <v>107.52000000000001</v>
      </c>
    </row>
    <row r="21" spans="1:14">
      <c r="A21" s="7">
        <v>6</v>
      </c>
      <c r="B21" s="5" t="s">
        <v>520</v>
      </c>
      <c r="C21" s="7" t="s">
        <v>551</v>
      </c>
      <c r="D21" s="5" t="s">
        <v>552</v>
      </c>
      <c r="E21" s="5" t="s">
        <v>553</v>
      </c>
      <c r="F21" s="7">
        <v>4</v>
      </c>
      <c r="G21" s="5" t="s">
        <v>554</v>
      </c>
      <c r="H21" s="6">
        <v>1.71</v>
      </c>
      <c r="I21" s="7">
        <v>0</v>
      </c>
      <c r="J21" s="6">
        <v>161.94999999999999</v>
      </c>
      <c r="K21" s="7">
        <v>100</v>
      </c>
      <c r="L21" s="6">
        <v>16.47</v>
      </c>
      <c r="M21" s="7">
        <v>100</v>
      </c>
      <c r="N21" s="6">
        <f>J21-L21</f>
        <v>145.47999999999999</v>
      </c>
    </row>
    <row r="22" spans="1:14">
      <c r="A22" s="7">
        <v>7</v>
      </c>
      <c r="B22" s="5" t="s">
        <v>520</v>
      </c>
      <c r="C22" s="7" t="s">
        <v>551</v>
      </c>
      <c r="D22" s="5" t="s">
        <v>555</v>
      </c>
      <c r="E22" s="5" t="s">
        <v>556</v>
      </c>
      <c r="F22" s="7">
        <v>5</v>
      </c>
      <c r="G22" s="5" t="s">
        <v>554</v>
      </c>
      <c r="H22" s="6">
        <v>1.12</v>
      </c>
      <c r="I22" s="7">
        <v>0</v>
      </c>
      <c r="J22" s="6">
        <v>192.52000000000001</v>
      </c>
      <c r="K22" s="7">
        <v>100</v>
      </c>
      <c r="L22" s="6">
        <v>112.43000000000001</v>
      </c>
      <c r="M22" s="7">
        <v>100</v>
      </c>
      <c r="N22" s="6">
        <f>J22-L22</f>
        <v>80.090000000000003</v>
      </c>
    </row>
    <row r="23" spans="1:14">
      <c r="A23" s="7">
        <v>8</v>
      </c>
      <c r="B23" s="5" t="s">
        <v>520</v>
      </c>
      <c r="C23" s="7" t="s">
        <v>551</v>
      </c>
      <c r="D23" s="5" t="s">
        <v>557</v>
      </c>
      <c r="E23" s="5" t="s">
        <v>558</v>
      </c>
      <c r="F23" s="7">
        <v>4</v>
      </c>
      <c r="G23" s="5" t="s">
        <v>554</v>
      </c>
      <c r="H23" s="6">
        <v>1.61</v>
      </c>
      <c r="I23" s="7">
        <v>0</v>
      </c>
      <c r="J23" s="6">
        <v>77.33</v>
      </c>
      <c r="K23" s="7">
        <v>100</v>
      </c>
      <c r="L23" s="6">
        <v>20.52</v>
      </c>
      <c r="M23" s="7">
        <v>100</v>
      </c>
      <c r="N23" s="6">
        <f>J23-L23</f>
        <v>56.81</v>
      </c>
    </row>
    <row r="24" spans="1:14">
      <c r="A24" s="7">
        <v>9</v>
      </c>
      <c r="B24" s="5" t="s">
        <v>520</v>
      </c>
      <c r="C24" s="7" t="s">
        <v>551</v>
      </c>
      <c r="D24" s="5" t="s">
        <v>559</v>
      </c>
      <c r="E24" s="5" t="s">
        <v>560</v>
      </c>
      <c r="F24" s="7">
        <v>6</v>
      </c>
      <c r="G24" s="5" t="s">
        <v>554</v>
      </c>
      <c r="H24" s="6">
        <v>1.44</v>
      </c>
      <c r="I24" s="7">
        <v>0</v>
      </c>
      <c r="J24" s="6">
        <v>149.25999999999999</v>
      </c>
      <c r="K24" s="7">
        <v>0</v>
      </c>
      <c r="L24" s="6">
        <v>14.57</v>
      </c>
      <c r="M24" s="7">
        <v>0</v>
      </c>
      <c r="N24" s="6">
        <f>J24-L24</f>
        <v>134.69</v>
      </c>
    </row>
    <row r="25" spans="1:14">
      <c r="A25" s="7">
        <v>10</v>
      </c>
      <c r="B25" s="5" t="s">
        <v>520</v>
      </c>
      <c r="C25" s="7" t="s">
        <v>551</v>
      </c>
      <c r="D25" s="5" t="s">
        <v>561</v>
      </c>
      <c r="E25" s="5" t="s">
        <v>562</v>
      </c>
      <c r="F25" s="7">
        <v>4</v>
      </c>
      <c r="G25" s="5" t="s">
        <v>554</v>
      </c>
      <c r="H25" s="6">
        <v>1.01</v>
      </c>
      <c r="I25" s="7">
        <v>0</v>
      </c>
      <c r="J25" s="6">
        <v>131.27000000000001</v>
      </c>
      <c r="K25" s="7">
        <v>100</v>
      </c>
      <c r="L25" s="6">
        <v>5.61</v>
      </c>
      <c r="M25" s="7">
        <v>0</v>
      </c>
      <c r="N25" s="6">
        <f>J25-L25</f>
        <v>125.66000000000001</v>
      </c>
    </row>
    <row r="26" spans="1:14">
      <c r="A26" s="7">
        <v>11</v>
      </c>
      <c r="B26" s="5" t="s">
        <v>520</v>
      </c>
      <c r="C26" s="7" t="s">
        <v>551</v>
      </c>
      <c r="D26" s="5" t="s">
        <v>563</v>
      </c>
      <c r="E26" s="5" t="s">
        <v>564</v>
      </c>
      <c r="F26" s="7">
        <v>4</v>
      </c>
      <c r="G26" s="5" t="s">
        <v>554</v>
      </c>
      <c r="H26" s="6">
        <v>0.8</v>
      </c>
      <c r="I26" s="7">
        <v>0</v>
      </c>
      <c r="J26" s="6">
        <v>114.93000000000001</v>
      </c>
      <c r="K26" s="7">
        <v>0</v>
      </c>
      <c r="L26" s="6">
        <v>35.88</v>
      </c>
      <c r="M26" s="7">
        <v>0</v>
      </c>
      <c r="N26" s="6">
        <f>J26-L26</f>
        <v>79.050000000000011</v>
      </c>
    </row>
    <row r="27" spans="1:14">
      <c r="A27" s="7">
        <v>12</v>
      </c>
      <c r="B27" s="5" t="s">
        <v>520</v>
      </c>
      <c r="C27" s="7" t="s">
        <v>551</v>
      </c>
      <c r="D27" s="5" t="s">
        <v>565</v>
      </c>
      <c r="E27" s="5" t="s">
        <v>566</v>
      </c>
      <c r="F27" s="7">
        <v>5</v>
      </c>
      <c r="G27" s="5" t="s">
        <v>554</v>
      </c>
      <c r="H27" s="6">
        <v>1.38</v>
      </c>
      <c r="I27" s="7">
        <v>0</v>
      </c>
      <c r="J27" s="6">
        <v>105.44</v>
      </c>
      <c r="K27" s="7">
        <v>0</v>
      </c>
      <c r="L27" s="6">
        <v>111.47</v>
      </c>
      <c r="M27" s="7">
        <v>0</v>
      </c>
      <c r="N27" s="6">
        <f>J27-L27</f>
        <v>-6.030000000000001</v>
      </c>
    </row>
    <row r="28" spans="1:14">
      <c r="A28" s="7">
        <v>13</v>
      </c>
      <c r="B28" s="5" t="s">
        <v>520</v>
      </c>
      <c r="C28" s="7" t="s">
        <v>551</v>
      </c>
      <c r="D28" s="5" t="s">
        <v>567</v>
      </c>
      <c r="E28" s="5" t="s">
        <v>568</v>
      </c>
      <c r="F28" s="7">
        <v>6</v>
      </c>
      <c r="G28" s="5" t="s">
        <v>554</v>
      </c>
      <c r="H28" s="6">
        <v>1.31</v>
      </c>
      <c r="I28" s="7">
        <v>0</v>
      </c>
      <c r="J28" s="6">
        <v>135.68000000000001</v>
      </c>
      <c r="K28" s="7">
        <v>100</v>
      </c>
      <c r="L28" s="6">
        <v>117.69</v>
      </c>
      <c r="M28" s="7">
        <v>100</v>
      </c>
      <c r="N28" s="6">
        <f>J28-L28</f>
        <v>17.99000000000001</v>
      </c>
    </row>
    <row r="29" spans="1:14">
      <c r="A29" s="7">
        <v>14</v>
      </c>
      <c r="B29" s="5" t="s">
        <v>520</v>
      </c>
      <c r="C29" s="7" t="s">
        <v>551</v>
      </c>
      <c r="D29" s="5" t="s">
        <v>569</v>
      </c>
      <c r="E29" s="5" t="s">
        <v>570</v>
      </c>
      <c r="F29" s="7">
        <v>6</v>
      </c>
      <c r="G29" s="5" t="s">
        <v>554</v>
      </c>
      <c r="H29" s="6">
        <v>0.99</v>
      </c>
      <c r="I29" s="7">
        <v>0</v>
      </c>
      <c r="J29" s="6">
        <v>218.47999999999999</v>
      </c>
      <c r="K29" s="7">
        <v>0</v>
      </c>
      <c r="L29" s="6">
        <v>112.41</v>
      </c>
      <c r="M29" s="7">
        <v>0</v>
      </c>
      <c r="N29" s="6">
        <f>J29-L29</f>
        <v>106.069999999999993</v>
      </c>
    </row>
    <row r="30" spans="1:14">
      <c r="A30" s="7">
        <v>15</v>
      </c>
      <c r="B30" s="5" t="s">
        <v>520</v>
      </c>
      <c r="C30" s="7" t="s">
        <v>551</v>
      </c>
      <c r="D30" s="5" t="s">
        <v>571</v>
      </c>
      <c r="E30" s="5" t="s">
        <v>572</v>
      </c>
      <c r="F30" s="7">
        <v>6</v>
      </c>
      <c r="G30" s="5" t="s">
        <v>554</v>
      </c>
      <c r="H30" s="6">
        <v>1.44</v>
      </c>
      <c r="I30" s="7">
        <v>0</v>
      </c>
      <c r="J30" s="6">
        <v>246.37</v>
      </c>
      <c r="K30" s="7">
        <v>100</v>
      </c>
      <c r="L30" s="6">
        <v>123.68000000000001</v>
      </c>
      <c r="M30" s="7">
        <v>100</v>
      </c>
      <c r="N30" s="6">
        <f>J30-L30</f>
        <v>122.69</v>
      </c>
    </row>
    <row r="31" spans="1:14">
      <c r="A31" s="7">
        <v>16</v>
      </c>
      <c r="B31" s="5" t="s">
        <v>520</v>
      </c>
      <c r="C31" s="7" t="s">
        <v>551</v>
      </c>
      <c r="D31" s="5" t="s">
        <v>573</v>
      </c>
      <c r="E31" s="5" t="s">
        <v>574</v>
      </c>
      <c r="F31" s="7">
        <v>4</v>
      </c>
      <c r="G31" s="5" t="s">
        <v>554</v>
      </c>
      <c r="H31" s="6">
        <v>1.24</v>
      </c>
      <c r="I31" s="7">
        <v>0</v>
      </c>
      <c r="J31" s="6">
        <v>155.81999999999999</v>
      </c>
      <c r="K31" s="7">
        <v>100</v>
      </c>
      <c r="L31" s="6">
        <v>116.019999999999996</v>
      </c>
      <c r="M31" s="7">
        <v>100</v>
      </c>
      <c r="N31" s="6">
        <f>J31-L31</f>
        <v>39.8</v>
      </c>
    </row>
    <row r="32" spans="1:14">
      <c r="A32" s="7">
        <v>17</v>
      </c>
      <c r="B32" s="5" t="s">
        <v>520</v>
      </c>
      <c r="C32" s="7" t="s">
        <v>551</v>
      </c>
      <c r="D32" s="5" t="s">
        <v>575</v>
      </c>
      <c r="E32" s="5" t="s">
        <v>576</v>
      </c>
      <c r="F32" s="7">
        <v>4</v>
      </c>
      <c r="G32" s="5" t="s">
        <v>554</v>
      </c>
      <c r="H32" s="6">
        <v>10.11</v>
      </c>
      <c r="I32" s="7">
        <v>0</v>
      </c>
      <c r="J32" s="6">
        <v>201.31</v>
      </c>
      <c r="K32" s="7">
        <v>100</v>
      </c>
      <c r="L32" s="6">
        <v>73.060000000000002</v>
      </c>
      <c r="M32" s="7">
        <v>100</v>
      </c>
      <c r="N32" s="6">
        <f>J32-L32</f>
        <v>128.25</v>
      </c>
    </row>
    <row r="33" spans="1:14">
      <c r="A33" s="7">
        <v>18</v>
      </c>
      <c r="B33" s="5" t="s">
        <v>520</v>
      </c>
      <c r="C33" s="7" t="s">
        <v>577</v>
      </c>
      <c r="D33" s="5" t="s">
        <v>578</v>
      </c>
      <c r="E33" s="5" t="s">
        <v>579</v>
      </c>
      <c r="F33" s="7">
        <v>4</v>
      </c>
      <c r="G33" s="5" t="s">
        <v>580</v>
      </c>
      <c r="H33" s="6">
        <v>1.16</v>
      </c>
      <c r="I33" s="7">
        <v>0</v>
      </c>
      <c r="J33" s="6">
        <v>98.8</v>
      </c>
      <c r="K33" s="7">
        <v>100</v>
      </c>
      <c r="L33" s="6">
        <v>46.52</v>
      </c>
      <c r="M33" s="7">
        <v>100</v>
      </c>
      <c r="N33" s="6">
        <f>J33-L33</f>
        <v>52.27999999999999</v>
      </c>
    </row>
    <row r="34" spans="1:14">
      <c r="A34" s="7">
        <v>19</v>
      </c>
      <c r="B34" s="5" t="s">
        <v>520</v>
      </c>
      <c r="C34" s="7" t="s">
        <v>577</v>
      </c>
      <c r="D34" s="5" t="s">
        <v>581</v>
      </c>
      <c r="E34" s="5" t="s">
        <v>582</v>
      </c>
      <c r="F34" s="7">
        <v>4</v>
      </c>
      <c r="G34" s="5" t="s">
        <v>580</v>
      </c>
      <c r="H34" s="6">
        <v>1.25</v>
      </c>
      <c r="I34" s="7">
        <v>0</v>
      </c>
      <c r="J34" s="6">
        <v>132.63999999999999</v>
      </c>
      <c r="K34" s="7">
        <v>100</v>
      </c>
      <c r="L34" s="6">
        <v>82.43000000000001</v>
      </c>
      <c r="M34" s="7">
        <v>100</v>
      </c>
      <c r="N34" s="6">
        <f>J34-L34</f>
        <v>50.20999999999998</v>
      </c>
    </row>
    <row r="35" spans="1:14">
      <c r="A35" s="7">
        <v>20</v>
      </c>
      <c r="B35" s="5" t="s">
        <v>520</v>
      </c>
      <c r="C35" s="7" t="s">
        <v>577</v>
      </c>
      <c r="D35" s="5" t="s">
        <v>583</v>
      </c>
      <c r="E35" s="5" t="s">
        <v>584</v>
      </c>
      <c r="F35" s="7">
        <v>5</v>
      </c>
      <c r="G35" s="5" t="s">
        <v>580</v>
      </c>
      <c r="H35" s="6">
        <v>1.2</v>
      </c>
      <c r="I35" s="7">
        <v>0</v>
      </c>
      <c r="J35" s="6">
        <v>178.87</v>
      </c>
      <c r="K35" s="7">
        <v>0</v>
      </c>
      <c r="L35" s="6">
        <v>68.86</v>
      </c>
      <c r="M35" s="7">
        <v>0</v>
      </c>
      <c r="N35" s="6">
        <f>J35-L35</f>
        <v>110.010000000000005</v>
      </c>
    </row>
    <row r="36" spans="1:14">
      <c r="A36" s="7">
        <v>21</v>
      </c>
      <c r="B36" s="5" t="s">
        <v>521</v>
      </c>
      <c r="C36" s="7" t="s">
        <v>537</v>
      </c>
      <c r="D36" s="5" t="s">
        <v>327</v>
      </c>
      <c r="E36" s="5" t="s">
        <v>585</v>
      </c>
      <c r="F36" s="7">
        <v>8</v>
      </c>
      <c r="G36" s="5" t="s">
        <v>540</v>
      </c>
      <c r="H36" s="6">
        <v>1.09</v>
      </c>
      <c r="I36" s="7">
        <v>0</v>
      </c>
      <c r="J36" s="6">
        <v>144.53999999999999</v>
      </c>
      <c r="K36" s="7">
        <v>100</v>
      </c>
      <c r="L36" s="6">
        <v>101.010000000000005</v>
      </c>
      <c r="M36" s="7">
        <v>100</v>
      </c>
      <c r="N36" s="6">
        <f>J36-L36</f>
        <v>43.52999999999999</v>
      </c>
    </row>
    <row r="37" spans="1:14">
      <c r="A37" s="7">
        <v>22</v>
      </c>
      <c r="B37" s="5" t="s">
        <v>521</v>
      </c>
      <c r="C37" s="7" t="s">
        <v>537</v>
      </c>
      <c r="D37" s="5" t="s">
        <v>586</v>
      </c>
      <c r="E37" s="5" t="s">
        <v>587</v>
      </c>
      <c r="F37" s="7">
        <v>7</v>
      </c>
      <c r="G37" s="5" t="s">
        <v>540</v>
      </c>
      <c r="H37" s="6">
        <v>1.17</v>
      </c>
      <c r="I37" s="7">
        <v>0</v>
      </c>
      <c r="J37" s="6">
        <v>144.02000000000001</v>
      </c>
      <c r="K37" s="7">
        <v>100</v>
      </c>
      <c r="L37" s="6">
        <v>102.95</v>
      </c>
      <c r="M37" s="7">
        <v>100</v>
      </c>
      <c r="N37" s="6">
        <f>J37-L37</f>
        <v>41.070000000000007</v>
      </c>
    </row>
    <row r="38" spans="1:14">
      <c r="A38" s="7">
        <v>23</v>
      </c>
      <c r="B38" s="5" t="s">
        <v>521</v>
      </c>
      <c r="C38" s="7" t="s">
        <v>547</v>
      </c>
      <c r="D38" s="5" t="s">
        <v>588</v>
      </c>
      <c r="E38" s="5" t="s">
        <v>589</v>
      </c>
      <c r="F38" s="7">
        <v>8</v>
      </c>
      <c r="G38" s="5" t="s">
        <v>550</v>
      </c>
      <c r="H38" s="6">
        <v>1.34</v>
      </c>
      <c r="I38" s="7">
        <v>0</v>
      </c>
      <c r="J38" s="6">
        <v>225.44999999999999</v>
      </c>
      <c r="K38" s="7">
        <v>100</v>
      </c>
      <c r="L38" s="6">
        <v>141.81999999999999</v>
      </c>
      <c r="M38" s="7">
        <v>100</v>
      </c>
      <c r="N38" s="6">
        <f>J38-L38</f>
        <v>83.63</v>
      </c>
    </row>
    <row r="39" spans="1:14">
      <c r="A39" s="7">
        <v>24</v>
      </c>
      <c r="B39" s="5" t="s">
        <v>521</v>
      </c>
      <c r="C39" s="7" t="s">
        <v>551</v>
      </c>
      <c r="D39" s="5" t="s">
        <v>23</v>
      </c>
      <c r="E39" s="5" t="s">
        <v>590</v>
      </c>
      <c r="F39" s="7">
        <v>8</v>
      </c>
      <c r="G39" s="5" t="s">
        <v>554</v>
      </c>
      <c r="H39" s="6">
        <v>1.79</v>
      </c>
      <c r="I39" s="7">
        <v>0</v>
      </c>
      <c r="J39" s="6">
        <v>196.58000000000001</v>
      </c>
      <c r="K39" s="7">
        <v>100</v>
      </c>
      <c r="L39" s="6">
        <v>62.74</v>
      </c>
      <c r="M39" s="7">
        <v>100</v>
      </c>
      <c r="N39" s="6">
        <f>J39-L39</f>
        <v>133.84</v>
      </c>
    </row>
    <row r="40" spans="1:14">
      <c r="A40" s="7">
        <v>25</v>
      </c>
      <c r="B40" s="5" t="s">
        <v>521</v>
      </c>
      <c r="C40" s="7" t="s">
        <v>551</v>
      </c>
      <c r="D40" s="5" t="s">
        <v>591</v>
      </c>
      <c r="E40" s="5" t="s">
        <v>592</v>
      </c>
      <c r="F40" s="7">
        <v>9</v>
      </c>
      <c r="G40" s="5" t="s">
        <v>554</v>
      </c>
      <c r="H40" s="6">
        <v>1.35</v>
      </c>
      <c r="I40" s="7">
        <v>0</v>
      </c>
      <c r="J40" s="6">
        <v>217.11000000000001</v>
      </c>
      <c r="K40" s="7">
        <v>100</v>
      </c>
      <c r="L40" s="6">
        <v>83.29000000000001</v>
      </c>
      <c r="M40" s="7">
        <v>100</v>
      </c>
      <c r="N40" s="6">
        <f>J40-L40</f>
        <v>133.81999999999999</v>
      </c>
    </row>
    <row r="41" spans="1:14">
      <c r="A41" s="7">
        <v>26</v>
      </c>
      <c r="B41" s="5" t="s">
        <v>521</v>
      </c>
      <c r="C41" s="7" t="s">
        <v>551</v>
      </c>
      <c r="D41" s="5" t="s">
        <v>593</v>
      </c>
      <c r="E41" s="5" t="s">
        <v>594</v>
      </c>
      <c r="F41" s="7">
        <v>9</v>
      </c>
      <c r="G41" s="5" t="s">
        <v>554</v>
      </c>
      <c r="H41" s="6">
        <v>1.2</v>
      </c>
      <c r="I41" s="7">
        <v>0</v>
      </c>
      <c r="J41" s="6">
        <v>159.59</v>
      </c>
      <c r="K41" s="7">
        <v>100</v>
      </c>
      <c r="L41" s="6">
        <v>37.83</v>
      </c>
      <c r="M41" s="7">
        <v>100</v>
      </c>
      <c r="N41" s="6">
        <f>J41-L41</f>
        <v>121.76000000000001</v>
      </c>
    </row>
    <row r="42" spans="1:14">
      <c r="A42" s="7">
        <v>27</v>
      </c>
      <c r="B42" s="5" t="s">
        <v>521</v>
      </c>
      <c r="C42" s="7" t="s">
        <v>577</v>
      </c>
      <c r="D42" s="5" t="s">
        <v>595</v>
      </c>
      <c r="E42" s="5" t="s">
        <v>596</v>
      </c>
      <c r="F42" s="7">
        <v>9</v>
      </c>
      <c r="G42" s="5" t="s">
        <v>580</v>
      </c>
      <c r="H42" s="6">
        <v>1.59</v>
      </c>
      <c r="I42" s="7">
        <v>0</v>
      </c>
      <c r="J42" s="6">
        <v>94.53</v>
      </c>
      <c r="K42" s="7">
        <v>100</v>
      </c>
      <c r="L42" s="6">
        <v>46.57</v>
      </c>
      <c r="M42" s="7">
        <v>100</v>
      </c>
      <c r="N42" s="6">
        <f>J42-L42</f>
        <v>47.96</v>
      </c>
    </row>
    <row r="43" spans="1:14">
      <c r="A43" s="7">
        <v>28</v>
      </c>
      <c r="B43" s="5" t="s">
        <v>521</v>
      </c>
      <c r="C43" s="7" t="s">
        <v>577</v>
      </c>
      <c r="D43" s="5" t="s">
        <v>597</v>
      </c>
      <c r="E43" s="5" t="s">
        <v>598</v>
      </c>
      <c r="F43" s="7">
        <v>9</v>
      </c>
      <c r="G43" s="5" t="s">
        <v>580</v>
      </c>
      <c r="H43" s="6">
        <v>1.35</v>
      </c>
      <c r="I43" s="7">
        <v>0</v>
      </c>
      <c r="J43" s="6">
        <v>246.94999999999999</v>
      </c>
      <c r="K43" s="7">
        <v>100</v>
      </c>
      <c r="L43" s="6">
        <v>23.46</v>
      </c>
      <c r="M43" s="7">
        <v>100</v>
      </c>
      <c r="N43" s="6">
        <f>J43-L43</f>
        <v>223.48999999999998</v>
      </c>
    </row>
    <row r="44" spans="1:14">
      <c r="A44" s="7">
        <v>29</v>
      </c>
      <c r="B44" s="5" t="s">
        <v>521</v>
      </c>
      <c r="C44" s="7" t="s">
        <v>577</v>
      </c>
      <c r="D44" s="5" t="s">
        <v>599</v>
      </c>
      <c r="E44" s="5" t="s">
        <v>600</v>
      </c>
      <c r="F44" s="7">
        <v>7</v>
      </c>
      <c r="G44" s="5" t="s">
        <v>580</v>
      </c>
      <c r="H44" s="6">
        <v>1.5</v>
      </c>
      <c r="I44" s="7">
        <v>0</v>
      </c>
      <c r="J44" s="6">
        <v>66.090000000000003</v>
      </c>
      <c r="K44" s="7">
        <v>100</v>
      </c>
      <c r="L44" s="6">
        <v>47.92</v>
      </c>
      <c r="M44" s="7">
        <v>100</v>
      </c>
      <c r="N44" s="6">
        <f>J44-L44</f>
        <v>18.17</v>
      </c>
    </row>
    <row r="45" spans="1:14">
      <c r="A45" s="7">
        <v>30</v>
      </c>
      <c r="B45" s="5" t="s">
        <v>521</v>
      </c>
      <c r="C45" s="7" t="s">
        <v>601</v>
      </c>
      <c r="D45" s="5" t="s">
        <v>602</v>
      </c>
      <c r="E45" s="5" t="s">
        <v>603</v>
      </c>
      <c r="F45" s="7">
        <v>9</v>
      </c>
      <c r="G45" s="5" t="s">
        <v>604</v>
      </c>
      <c r="H45" s="6">
        <v>1.29</v>
      </c>
      <c r="I45" s="7">
        <v>0</v>
      </c>
      <c r="J45" s="6">
        <v>224.78</v>
      </c>
      <c r="K45" s="7">
        <v>0</v>
      </c>
      <c r="L45" s="6">
        <v>44.97</v>
      </c>
      <c r="M45" s="7">
        <v>0</v>
      </c>
      <c r="N45" s="6">
        <f>J45-L45</f>
        <v>179.81</v>
      </c>
    </row>
    <row r="46" spans="1:14">
      <c r="A46" s="7">
        <v>31</v>
      </c>
      <c r="B46" s="5" t="s">
        <v>521</v>
      </c>
      <c r="C46" s="7" t="s">
        <v>601</v>
      </c>
      <c r="D46" s="5" t="s">
        <v>605</v>
      </c>
      <c r="E46" s="5" t="s">
        <v>606</v>
      </c>
      <c r="F46" s="7">
        <v>9</v>
      </c>
      <c r="G46" s="5" t="s">
        <v>604</v>
      </c>
      <c r="H46" s="6">
        <v>1.04</v>
      </c>
      <c r="I46" s="7">
        <v>0</v>
      </c>
      <c r="J46" s="6">
        <v>215.030000000000001</v>
      </c>
      <c r="K46" s="7">
        <v>100</v>
      </c>
      <c r="L46" s="6">
        <v>151.53999999999999</v>
      </c>
      <c r="M46" s="7">
        <v>100</v>
      </c>
      <c r="N46" s="6">
        <f>J46-L46</f>
        <v>63.49000000000001</v>
      </c>
    </row>
    <row r="47" spans="1:14">
      <c r="A47" s="7">
        <v>32</v>
      </c>
      <c r="B47" s="5" t="s">
        <v>521</v>
      </c>
      <c r="C47" s="7" t="s">
        <v>607</v>
      </c>
      <c r="D47" s="5" t="s">
        <v>62</v>
      </c>
      <c r="E47" s="5" t="s">
        <v>608</v>
      </c>
      <c r="F47" s="7">
        <v>8</v>
      </c>
      <c r="G47" s="5" t="s">
        <v>609</v>
      </c>
      <c r="H47" s="6">
        <v>1.52</v>
      </c>
      <c r="I47" s="7">
        <v>0</v>
      </c>
      <c r="J47" s="6">
        <v>189.28999999999999</v>
      </c>
      <c r="K47" s="7">
        <v>100</v>
      </c>
      <c r="L47" s="6">
        <v>76.22</v>
      </c>
      <c r="M47" s="7">
        <v>100</v>
      </c>
      <c r="N47" s="6">
        <f>J47-L47</f>
        <v>113.069999999999993</v>
      </c>
    </row>
    <row r="48" spans="1:14">
      <c r="A48" s="7">
        <v>33</v>
      </c>
      <c r="B48" s="5" t="s">
        <v>521</v>
      </c>
      <c r="C48" s="7" t="s">
        <v>610</v>
      </c>
      <c r="D48" s="5" t="s">
        <v>308</v>
      </c>
      <c r="E48" s="5" t="s">
        <v>611</v>
      </c>
      <c r="F48" s="7">
        <v>7</v>
      </c>
      <c r="G48" s="5" t="s">
        <v>612</v>
      </c>
      <c r="H48" s="6">
        <v>1.27</v>
      </c>
      <c r="I48" s="7">
        <v>0</v>
      </c>
      <c r="J48" s="6">
        <v>134.47</v>
      </c>
      <c r="K48" s="7">
        <v>100</v>
      </c>
      <c r="L48" s="6">
        <v>26.76</v>
      </c>
      <c r="M48" s="7">
        <v>100</v>
      </c>
      <c r="N48" s="6">
        <f>J48-L48</f>
        <v>107.70999999999999</v>
      </c>
    </row>
    <row r="49" spans="1:14">
      <c r="A49" s="7">
        <v>34</v>
      </c>
      <c r="B49" s="5" t="s">
        <v>521</v>
      </c>
      <c r="C49" s="7" t="s">
        <v>610</v>
      </c>
      <c r="D49" s="5" t="s">
        <v>613</v>
      </c>
      <c r="E49" s="5" t="s">
        <v>614</v>
      </c>
      <c r="F49" s="7">
        <v>7</v>
      </c>
      <c r="G49" s="5" t="s">
        <v>612</v>
      </c>
      <c r="H49" s="6">
        <v>1.39</v>
      </c>
      <c r="I49" s="7">
        <v>0</v>
      </c>
      <c r="J49" s="6">
        <v>180.80000000000001</v>
      </c>
      <c r="K49" s="7">
        <v>100</v>
      </c>
      <c r="L49" s="6">
        <v>108.13</v>
      </c>
      <c r="M49" s="7">
        <v>100</v>
      </c>
      <c r="N49" s="6">
        <f>J49-L49</f>
        <v>72.67000000000002</v>
      </c>
    </row>
    <row r="50" spans="1:14">
      <c r="A50" s="7">
        <v>35</v>
      </c>
      <c r="B50" s="5" t="s">
        <v>521</v>
      </c>
      <c r="C50" s="7" t="s">
        <v>610</v>
      </c>
      <c r="D50" s="5" t="s">
        <v>615</v>
      </c>
      <c r="E50" s="5" t="s">
        <v>616</v>
      </c>
      <c r="F50" s="7">
        <v>10</v>
      </c>
      <c r="G50" s="5" t="s">
        <v>612</v>
      </c>
      <c r="H50" s="6">
        <v>1.37</v>
      </c>
      <c r="I50" s="7">
        <v>0</v>
      </c>
      <c r="J50" s="6">
        <v>165.80000000000001</v>
      </c>
      <c r="K50" s="7">
        <v>100</v>
      </c>
      <c r="L50" s="6">
        <v>99.43000000000001</v>
      </c>
      <c r="M50" s="7">
        <v>100</v>
      </c>
      <c r="N50" s="6">
        <f>J50-L50</f>
        <v>66.37</v>
      </c>
    </row>
    <row r="51" spans="1:14">
      <c r="A51" s="7">
        <v>36</v>
      </c>
      <c r="B51" s="5" t="s">
        <v>521</v>
      </c>
      <c r="C51" s="7" t="s">
        <v>610</v>
      </c>
      <c r="D51" s="5" t="s">
        <v>617</v>
      </c>
      <c r="E51" s="5" t="s">
        <v>618</v>
      </c>
      <c r="F51" s="7">
        <v>8</v>
      </c>
      <c r="G51" s="5" t="s">
        <v>612</v>
      </c>
      <c r="H51" s="6">
        <v>2.02</v>
      </c>
      <c r="I51" s="7">
        <v>0</v>
      </c>
      <c r="J51" s="6">
        <v>278.79000000000002</v>
      </c>
      <c r="K51" s="7">
        <v>100</v>
      </c>
      <c r="L51" s="6">
        <v>91.52</v>
      </c>
      <c r="M51" s="7">
        <v>100</v>
      </c>
      <c r="N51" s="6">
        <f>J51-L51</f>
        <v>187.27000000000004</v>
      </c>
    </row>
    <row r="52" spans="1:14">
      <c r="A52" s="7">
        <v>37</v>
      </c>
      <c r="B52" s="5" t="s">
        <v>521</v>
      </c>
      <c r="C52" s="7" t="s">
        <v>610</v>
      </c>
      <c r="D52" s="5" t="s">
        <v>619</v>
      </c>
      <c r="E52" s="5" t="s">
        <v>620</v>
      </c>
      <c r="F52" s="7">
        <v>7</v>
      </c>
      <c r="G52" s="5" t="s">
        <v>612</v>
      </c>
      <c r="H52" s="6">
        <v>1</v>
      </c>
      <c r="I52" s="7">
        <v>0</v>
      </c>
      <c r="J52" s="6">
        <v>194.13</v>
      </c>
      <c r="K52" s="7">
        <v>100</v>
      </c>
      <c r="L52" s="6">
        <v>66.030000000000001</v>
      </c>
      <c r="M52" s="7">
        <v>100</v>
      </c>
      <c r="N52" s="6">
        <f>J52-L52</f>
        <v>128.099999999999994</v>
      </c>
    </row>
    <row r="53" spans="1:14">
      <c r="A53" s="7">
        <v>38</v>
      </c>
      <c r="B53" s="5" t="s">
        <v>521</v>
      </c>
      <c r="C53" s="7" t="s">
        <v>610</v>
      </c>
      <c r="D53" s="5" t="s">
        <v>621</v>
      </c>
      <c r="E53" s="5" t="s">
        <v>622</v>
      </c>
      <c r="F53" s="7">
        <v>8</v>
      </c>
      <c r="G53" s="5" t="s">
        <v>612</v>
      </c>
      <c r="H53" s="6">
        <v>1.51</v>
      </c>
      <c r="I53" s="7">
        <v>0</v>
      </c>
      <c r="J53" s="6">
        <v>338.50999999999999</v>
      </c>
      <c r="K53" s="7">
        <v>100</v>
      </c>
      <c r="L53" s="6">
        <v>115.89</v>
      </c>
      <c r="M53" s="7">
        <v>100</v>
      </c>
      <c r="N53" s="6">
        <f>J53-L53</f>
        <v>222.62</v>
      </c>
    </row>
    <row r="54" spans="1:14">
      <c r="A54" s="7">
        <v>39</v>
      </c>
      <c r="B54" s="5" t="s">
        <v>521</v>
      </c>
      <c r="C54" s="7" t="s">
        <v>610</v>
      </c>
      <c r="D54" s="5" t="s">
        <v>623</v>
      </c>
      <c r="E54" s="5" t="s">
        <v>624</v>
      </c>
      <c r="F54" s="7">
        <v>10</v>
      </c>
      <c r="G54" s="5" t="s">
        <v>612</v>
      </c>
      <c r="H54" s="6">
        <v>1.54</v>
      </c>
      <c r="I54" s="7">
        <v>0</v>
      </c>
      <c r="J54" s="6">
        <v>316.029999999999973</v>
      </c>
      <c r="K54" s="7">
        <v>100</v>
      </c>
      <c r="L54" s="6">
        <v>66.33</v>
      </c>
      <c r="M54" s="7">
        <v>100</v>
      </c>
      <c r="N54" s="6">
        <f>J54-L54</f>
        <v>249.69999999999999</v>
      </c>
    </row>
    <row r="55" spans="1:14">
      <c r="A55" s="7">
        <v>40</v>
      </c>
      <c r="B55" s="5" t="s">
        <v>521</v>
      </c>
      <c r="C55" s="7" t="s">
        <v>625</v>
      </c>
      <c r="D55" s="5" t="s">
        <v>626</v>
      </c>
      <c r="E55" s="5" t="s">
        <v>627</v>
      </c>
      <c r="F55" s="7">
        <v>10</v>
      </c>
      <c r="G55" s="5" t="s">
        <v>628</v>
      </c>
      <c r="H55" s="6">
        <v>1.25</v>
      </c>
      <c r="I55" s="7">
        <v>0</v>
      </c>
      <c r="J55" s="6">
        <v>209.43000000000001</v>
      </c>
      <c r="K55" s="7">
        <v>100</v>
      </c>
      <c r="L55" s="6">
        <v>131.65000000000001</v>
      </c>
      <c r="M55" s="7">
        <v>100</v>
      </c>
      <c r="N55" s="6">
        <f>J55-L55</f>
        <v>77.78</v>
      </c>
    </row>
    <row r="56" spans="1:14">
      <c r="A56" s="7">
        <v>41</v>
      </c>
      <c r="B56" s="5" t="s">
        <v>522</v>
      </c>
      <c r="C56" s="7" t="s">
        <v>547</v>
      </c>
      <c r="D56" s="5" t="s">
        <v>629</v>
      </c>
      <c r="E56" s="5" t="s">
        <v>630</v>
      </c>
      <c r="F56" s="7">
        <v>13</v>
      </c>
      <c r="G56" s="5" t="s">
        <v>550</v>
      </c>
      <c r="H56" s="6">
        <v>1.26</v>
      </c>
      <c r="I56" s="7">
        <v>0</v>
      </c>
      <c r="J56" s="6">
        <v>249.49000000000001</v>
      </c>
      <c r="K56" s="7">
        <v>100</v>
      </c>
      <c r="L56" s="6">
        <v>60.52</v>
      </c>
      <c r="M56" s="7">
        <v>100</v>
      </c>
      <c r="N56" s="6">
        <f>J56-L56</f>
        <v>188.97</v>
      </c>
    </row>
    <row r="57" spans="1:14">
      <c r="A57" s="7">
        <v>42</v>
      </c>
      <c r="B57" s="5" t="s">
        <v>522</v>
      </c>
      <c r="C57" s="7" t="s">
        <v>547</v>
      </c>
      <c r="D57" s="5" t="s">
        <v>102</v>
      </c>
      <c r="E57" s="5" t="s">
        <v>631</v>
      </c>
      <c r="F57" s="7">
        <v>11</v>
      </c>
      <c r="G57" s="5" t="s">
        <v>550</v>
      </c>
      <c r="H57" s="6">
        <v>1.32</v>
      </c>
      <c r="I57" s="7">
        <v>0</v>
      </c>
      <c r="J57" s="6">
        <v>238.56</v>
      </c>
      <c r="K57" s="7">
        <v>100</v>
      </c>
      <c r="L57" s="6">
        <v>114.39</v>
      </c>
      <c r="M57" s="7">
        <v>100</v>
      </c>
      <c r="N57" s="6">
        <f>J57-L57</f>
        <v>124.17</v>
      </c>
    </row>
    <row r="58" spans="1:14">
      <c r="A58" s="7">
        <v>43</v>
      </c>
      <c r="B58" s="5" t="s">
        <v>522</v>
      </c>
      <c r="C58" s="7" t="s">
        <v>551</v>
      </c>
      <c r="D58" s="5" t="s">
        <v>632</v>
      </c>
      <c r="E58" s="5" t="s">
        <v>633</v>
      </c>
      <c r="F58" s="7">
        <v>11</v>
      </c>
      <c r="G58" s="5" t="s">
        <v>554</v>
      </c>
      <c r="H58" s="6">
        <v>1.59</v>
      </c>
      <c r="I58" s="7">
        <v>0</v>
      </c>
      <c r="J58" s="6">
        <v>229.40000000000001</v>
      </c>
      <c r="K58" s="7">
        <v>100</v>
      </c>
      <c r="L58" s="6">
        <v>100.3</v>
      </c>
      <c r="M58" s="7">
        <v>100</v>
      </c>
      <c r="N58" s="6">
        <f>J58-L58</f>
        <v>129.10000000000002</v>
      </c>
    </row>
    <row r="59" spans="1:14">
      <c r="A59" s="7">
        <v>44</v>
      </c>
      <c r="B59" s="5" t="s">
        <v>522</v>
      </c>
      <c r="C59" s="7" t="s">
        <v>607</v>
      </c>
      <c r="D59" s="5" t="s">
        <v>634</v>
      </c>
      <c r="E59" s="5" t="s">
        <v>635</v>
      </c>
      <c r="F59" s="7">
        <v>13</v>
      </c>
      <c r="G59" s="5" t="s">
        <v>609</v>
      </c>
      <c r="H59" s="6">
        <v>1.14</v>
      </c>
      <c r="I59" s="7">
        <v>0</v>
      </c>
      <c r="J59" s="6">
        <v>163.91</v>
      </c>
      <c r="K59" s="7">
        <v>100</v>
      </c>
      <c r="L59" s="6">
        <v>12.36</v>
      </c>
      <c r="M59" s="7">
        <v>100</v>
      </c>
      <c r="N59" s="6">
        <f>J59-L59</f>
        <v>151.55000000000001</v>
      </c>
    </row>
    <row r="60" spans="1:14">
      <c r="A60" s="7">
        <v>45</v>
      </c>
      <c r="B60" s="5" t="s">
        <v>522</v>
      </c>
      <c r="C60" s="7" t="s">
        <v>607</v>
      </c>
      <c r="D60" s="5" t="s">
        <v>636</v>
      </c>
      <c r="E60" s="5" t="s">
        <v>637</v>
      </c>
      <c r="F60" s="7">
        <v>12</v>
      </c>
      <c r="G60" s="5" t="s">
        <v>609</v>
      </c>
      <c r="H60" s="6">
        <v>1.47</v>
      </c>
      <c r="I60" s="7">
        <v>0</v>
      </c>
      <c r="J60" s="6">
        <v>203.43000000000001</v>
      </c>
      <c r="K60" s="7">
        <v>100</v>
      </c>
      <c r="L60" s="6">
        <v>34.93</v>
      </c>
      <c r="M60" s="7">
        <v>100</v>
      </c>
      <c r="N60" s="6">
        <f>J60-L60</f>
        <v>168.5</v>
      </c>
    </row>
    <row r="61" spans="1:14">
      <c r="A61" s="7">
        <v>46</v>
      </c>
      <c r="B61" s="5" t="s">
        <v>522</v>
      </c>
      <c r="C61" s="7" t="s">
        <v>625</v>
      </c>
      <c r="D61" s="5" t="s">
        <v>638</v>
      </c>
      <c r="E61" s="5" t="s">
        <v>639</v>
      </c>
      <c r="F61" s="7">
        <v>14</v>
      </c>
      <c r="G61" s="5" t="s">
        <v>628</v>
      </c>
      <c r="H61" s="6">
        <v>1.48</v>
      </c>
      <c r="I61" s="7">
        <v>0</v>
      </c>
      <c r="J61" s="6">
        <v>335.72000000000003</v>
      </c>
      <c r="K61" s="7">
        <v>100</v>
      </c>
      <c r="L61" s="6">
        <v>70.44</v>
      </c>
      <c r="M61" s="7">
        <v>100</v>
      </c>
      <c r="N61" s="6">
        <f>J61-L61</f>
        <v>265.28000000000003</v>
      </c>
    </row>
    <row r="62" spans="1:14">
      <c r="A62" s="7">
        <v>47</v>
      </c>
      <c r="B62" s="5" t="s">
        <v>522</v>
      </c>
      <c r="C62" s="7" t="s">
        <v>640</v>
      </c>
      <c r="D62" s="5" t="s">
        <v>102</v>
      </c>
      <c r="E62" s="5" t="s">
        <v>150</v>
      </c>
      <c r="F62" s="7">
        <v>11</v>
      </c>
      <c r="G62" s="5" t="s">
        <v>641</v>
      </c>
      <c r="H62" s="6">
        <v>1.08</v>
      </c>
      <c r="I62" s="7">
        <v>0</v>
      </c>
      <c r="J62" s="6">
        <v>228.75999999999999</v>
      </c>
      <c r="K62" s="7">
        <v>100</v>
      </c>
      <c r="L62" s="6">
        <v>93.59999999999999</v>
      </c>
      <c r="M62" s="7">
        <v>100</v>
      </c>
      <c r="N62" s="6">
        <f>J62-L62</f>
        <v>135.16</v>
      </c>
    </row>
    <row r="63" spans="1:14">
      <c r="A63" s="7">
        <v>48</v>
      </c>
      <c r="B63" s="5" t="s">
        <v>522</v>
      </c>
      <c r="C63" s="7" t="s">
        <v>642</v>
      </c>
      <c r="D63" s="5" t="s">
        <v>643</v>
      </c>
      <c r="E63" s="5" t="s">
        <v>644</v>
      </c>
      <c r="F63" s="7">
        <v>13</v>
      </c>
      <c r="G63" s="5" t="s">
        <v>645</v>
      </c>
      <c r="H63" s="6">
        <v>2.57</v>
      </c>
      <c r="I63" s="7">
        <v>0</v>
      </c>
      <c r="J63" s="6">
        <v>348.20999999999998</v>
      </c>
      <c r="K63" s="7">
        <v>100</v>
      </c>
      <c r="L63" s="6">
        <v>54.68</v>
      </c>
      <c r="M63" s="7">
        <v>100</v>
      </c>
      <c r="N63" s="6">
        <f>J63-L63</f>
        <v>293.52999999999997</v>
      </c>
    </row>
    <row r="64" spans="1:14">
      <c r="A64" s="7">
        <v>49</v>
      </c>
      <c r="B64" s="5" t="s">
        <v>522</v>
      </c>
      <c r="C64" s="7" t="s">
        <v>642</v>
      </c>
      <c r="D64" s="5" t="s">
        <v>646</v>
      </c>
      <c r="E64" s="5" t="s">
        <v>647</v>
      </c>
      <c r="F64" s="7">
        <v>11</v>
      </c>
      <c r="G64" s="5" t="s">
        <v>645</v>
      </c>
      <c r="H64" s="6">
        <v>1.69</v>
      </c>
      <c r="I64" s="7">
        <v>0</v>
      </c>
      <c r="J64" s="6">
        <v>248.099999999999994</v>
      </c>
      <c r="K64" s="7">
        <v>100</v>
      </c>
      <c r="L64" s="6">
        <v>82.59999999999999</v>
      </c>
      <c r="M64" s="7">
        <v>100</v>
      </c>
      <c r="N64" s="6">
        <f>J64-L64</f>
        <v>165.5</v>
      </c>
    </row>
    <row r="65" spans="1:14">
      <c r="A65" s="7">
        <v>50</v>
      </c>
      <c r="B65" s="5" t="s">
        <v>522</v>
      </c>
      <c r="C65" s="7" t="s">
        <v>642</v>
      </c>
      <c r="D65" s="5" t="s">
        <v>648</v>
      </c>
      <c r="E65" s="5" t="s">
        <v>649</v>
      </c>
      <c r="F65" s="7">
        <v>13</v>
      </c>
      <c r="G65" s="5" t="s">
        <v>645</v>
      </c>
      <c r="H65" s="6">
        <v>1.52</v>
      </c>
      <c r="I65" s="7">
        <v>0</v>
      </c>
      <c r="J65" s="6">
        <v>296.83999999999997</v>
      </c>
      <c r="K65" s="7">
        <v>100</v>
      </c>
      <c r="L65" s="6">
        <v>124.48999999999999</v>
      </c>
      <c r="M65" s="7">
        <v>100</v>
      </c>
      <c r="N65" s="6">
        <f>J65-L65</f>
        <v>172.34999999999997</v>
      </c>
    </row>
    <row r="66" spans="1:14">
      <c r="A66" s="7">
        <v>51</v>
      </c>
      <c r="B66" s="5" t="s">
        <v>522</v>
      </c>
      <c r="C66" s="7" t="s">
        <v>650</v>
      </c>
      <c r="D66" s="5" t="s">
        <v>651</v>
      </c>
      <c r="E66" s="5" t="s">
        <v>652</v>
      </c>
      <c r="F66" s="7">
        <v>12</v>
      </c>
      <c r="G66" s="5" t="s">
        <v>653</v>
      </c>
      <c r="H66" s="6">
        <v>1.43</v>
      </c>
      <c r="I66" s="7">
        <v>0</v>
      </c>
      <c r="J66" s="6">
        <v>202.25</v>
      </c>
      <c r="K66" s="7">
        <v>100</v>
      </c>
      <c r="L66" s="6">
        <v>107.090000000000003</v>
      </c>
      <c r="M66" s="7">
        <v>100</v>
      </c>
      <c r="N66" s="6">
        <f>J66-L66</f>
        <v>95.16</v>
      </c>
    </row>
    <row r="67" spans="1:14">
      <c r="A67" s="7">
        <v>52</v>
      </c>
      <c r="B67" s="5" t="s">
        <v>522</v>
      </c>
      <c r="C67" s="7" t="s">
        <v>650</v>
      </c>
      <c r="D67" s="5" t="s">
        <v>654</v>
      </c>
      <c r="E67" s="5" t="s">
        <v>655</v>
      </c>
      <c r="F67" s="7">
        <v>15</v>
      </c>
      <c r="G67" s="5" t="s">
        <v>653</v>
      </c>
      <c r="H67" s="6">
        <v>1.14</v>
      </c>
      <c r="I67" s="7">
        <v>0</v>
      </c>
      <c r="J67" s="6">
        <v>341.43000000000001</v>
      </c>
      <c r="K67" s="7">
        <v>100</v>
      </c>
      <c r="L67" s="6">
        <v>90.34999999999999</v>
      </c>
      <c r="M67" s="7">
        <v>100</v>
      </c>
      <c r="N67" s="6">
        <f>J67-L67</f>
        <v>251.080000000000013</v>
      </c>
    </row>
    <row r="68" spans="1:14">
      <c r="A68" s="7">
        <v>53</v>
      </c>
      <c r="B68" s="5" t="s">
        <v>522</v>
      </c>
      <c r="C68" s="7" t="s">
        <v>650</v>
      </c>
      <c r="D68" s="5" t="s">
        <v>102</v>
      </c>
      <c r="E68" s="5" t="s">
        <v>656</v>
      </c>
      <c r="F68" s="7">
        <v>11</v>
      </c>
      <c r="G68" s="5" t="s">
        <v>653</v>
      </c>
      <c r="H68" s="6">
        <v>1.6</v>
      </c>
      <c r="I68" s="7">
        <v>0</v>
      </c>
      <c r="J68" s="6">
        <v>213.090000000000003</v>
      </c>
      <c r="K68" s="7">
        <v>100</v>
      </c>
      <c r="L68" s="6">
        <v>94.73999999999999</v>
      </c>
      <c r="M68" s="7">
        <v>100</v>
      </c>
      <c r="N68" s="6">
        <f>J68-L68</f>
        <v>118.35000000000001</v>
      </c>
    </row>
    <row r="69" spans="1:14">
      <c r="A69" s="7">
        <v>54</v>
      </c>
      <c r="B69" s="5" t="s">
        <v>522</v>
      </c>
      <c r="C69" s="7" t="s">
        <v>657</v>
      </c>
      <c r="D69" s="5" t="s">
        <v>658</v>
      </c>
      <c r="E69" s="5" t="s">
        <v>659</v>
      </c>
      <c r="F69" s="7">
        <v>12</v>
      </c>
      <c r="G69" s="5" t="s">
        <v>660</v>
      </c>
      <c r="H69" s="6">
        <v>1.09</v>
      </c>
      <c r="I69" s="7">
        <v>0</v>
      </c>
      <c r="J69" s="6">
        <v>248.38</v>
      </c>
      <c r="K69" s="7">
        <v>100</v>
      </c>
      <c r="L69" s="6">
        <v>125.91</v>
      </c>
      <c r="M69" s="7">
        <v>100</v>
      </c>
      <c r="N69" s="6">
        <f>J69-L69</f>
        <v>122.47</v>
      </c>
    </row>
    <row r="70" spans="1:14">
      <c r="A70" s="7">
        <v>55</v>
      </c>
      <c r="B70" s="5" t="s">
        <v>522</v>
      </c>
      <c r="C70" s="7" t="s">
        <v>657</v>
      </c>
      <c r="D70" s="5" t="s">
        <v>661</v>
      </c>
      <c r="E70" s="5" t="s">
        <v>662</v>
      </c>
      <c r="F70" s="7">
        <v>11</v>
      </c>
      <c r="G70" s="5" t="s">
        <v>660</v>
      </c>
      <c r="H70" s="6">
        <v>1.29</v>
      </c>
      <c r="I70" s="7">
        <v>0</v>
      </c>
      <c r="J70" s="6">
        <v>414.41000000000003</v>
      </c>
      <c r="K70" s="7">
        <v>100</v>
      </c>
      <c r="L70" s="6">
        <v>121.17</v>
      </c>
      <c r="M70" s="7">
        <v>100</v>
      </c>
      <c r="N70" s="6">
        <f>J70-L70</f>
        <v>293.24000000000001</v>
      </c>
    </row>
    <row r="71" spans="1:14">
      <c r="A71" s="7">
        <v>56</v>
      </c>
      <c r="B71" s="5" t="s">
        <v>522</v>
      </c>
      <c r="C71" s="7" t="s">
        <v>663</v>
      </c>
      <c r="D71" s="5" t="s">
        <v>664</v>
      </c>
      <c r="E71" s="5" t="s">
        <v>665</v>
      </c>
      <c r="F71" s="7">
        <v>11</v>
      </c>
      <c r="G71" s="5" t="s">
        <v>666</v>
      </c>
      <c r="H71" s="6">
        <v>1.38</v>
      </c>
      <c r="I71" s="7">
        <v>0</v>
      </c>
      <c r="J71" s="6">
        <v>273.66000000000003</v>
      </c>
      <c r="K71" s="7">
        <v>100</v>
      </c>
      <c r="L71" s="6">
        <v>25.050000000000001</v>
      </c>
      <c r="M71" s="7">
        <v>100</v>
      </c>
      <c r="N71" s="6">
        <f>J71-L71</f>
        <v>248.61000000000001</v>
      </c>
    </row>
    <row r="72" spans="1:14">
      <c r="A72" s="7">
        <v>57</v>
      </c>
      <c r="B72" s="5" t="s">
        <v>522</v>
      </c>
      <c r="C72" s="7" t="s">
        <v>667</v>
      </c>
      <c r="D72" s="5" t="s">
        <v>668</v>
      </c>
      <c r="E72" s="5" t="s">
        <v>669</v>
      </c>
      <c r="F72" s="7">
        <v>13</v>
      </c>
      <c r="G72" s="5" t="s">
        <v>670</v>
      </c>
      <c r="H72" s="6">
        <v>1.17</v>
      </c>
      <c r="I72" s="7">
        <v>0</v>
      </c>
      <c r="J72" s="6">
        <v>256.56</v>
      </c>
      <c r="K72" s="7">
        <v>100</v>
      </c>
      <c r="L72" s="6">
        <v>66.90000000000001</v>
      </c>
      <c r="M72" s="7">
        <v>100</v>
      </c>
      <c r="N72" s="6">
        <f>J72-L72</f>
        <v>189.66</v>
      </c>
    </row>
    <row r="73" spans="1:14">
      <c r="A73" s="7">
        <v>58</v>
      </c>
      <c r="B73" s="5" t="s">
        <v>522</v>
      </c>
      <c r="C73" s="7" t="s">
        <v>667</v>
      </c>
      <c r="D73" s="5" t="s">
        <v>102</v>
      </c>
      <c r="E73" s="5" t="s">
        <v>631</v>
      </c>
      <c r="F73" s="7">
        <v>11</v>
      </c>
      <c r="G73" s="5" t="s">
        <v>670</v>
      </c>
      <c r="H73" s="6">
        <v>1.2</v>
      </c>
      <c r="I73" s="7">
        <v>0</v>
      </c>
      <c r="J73" s="6">
        <v>229.43000000000001</v>
      </c>
      <c r="K73" s="7">
        <v>100</v>
      </c>
      <c r="L73" s="6">
        <v>96.62</v>
      </c>
      <c r="M73" s="7">
        <v>100</v>
      </c>
      <c r="N73" s="6">
        <f>J73-L73</f>
        <v>132.81</v>
      </c>
    </row>
    <row r="74" spans="1:14">
      <c r="A74" s="7">
        <v>59</v>
      </c>
      <c r="B74" s="5" t="s">
        <v>522</v>
      </c>
      <c r="C74" s="7" t="s">
        <v>671</v>
      </c>
      <c r="D74" s="5" t="s">
        <v>672</v>
      </c>
      <c r="E74" s="5" t="s">
        <v>673</v>
      </c>
      <c r="F74" s="7">
        <v>11</v>
      </c>
      <c r="G74" s="5" t="s">
        <v>674</v>
      </c>
      <c r="H74" s="6">
        <v>1.09</v>
      </c>
      <c r="I74" s="7">
        <v>0</v>
      </c>
      <c r="J74" s="6">
        <v>190.55000000000001</v>
      </c>
      <c r="K74" s="7">
        <v>100</v>
      </c>
      <c r="L74" s="6">
        <v>33.89</v>
      </c>
      <c r="M74" s="7">
        <v>100</v>
      </c>
      <c r="N74" s="6">
        <f>J74-L74</f>
        <v>156.66000000000003</v>
      </c>
    </row>
    <row r="75" spans="1:14">
      <c r="A75" s="7">
        <v>60</v>
      </c>
      <c r="B75" s="5" t="s">
        <v>522</v>
      </c>
      <c r="C75" s="7" t="s">
        <v>675</v>
      </c>
      <c r="D75" s="5" t="s">
        <v>676</v>
      </c>
      <c r="E75" s="5" t="s">
        <v>677</v>
      </c>
      <c r="F75" s="7">
        <v>11</v>
      </c>
      <c r="G75" s="5" t="s">
        <v>678</v>
      </c>
      <c r="H75" s="6">
        <v>1.27</v>
      </c>
      <c r="I75" s="7">
        <v>0</v>
      </c>
      <c r="J75" s="6">
        <v>139.44</v>
      </c>
      <c r="K75" s="7">
        <v>100</v>
      </c>
      <c r="L75" s="6">
        <v>78.65000000000001</v>
      </c>
      <c r="M75" s="7">
        <v>100</v>
      </c>
      <c r="N75" s="6">
        <f>J75-L75</f>
        <v>60.78999999999999</v>
      </c>
    </row>
    <row r="76" spans="1:14">
      <c r="A76" s="7">
        <v>61</v>
      </c>
      <c r="B76" s="5" t="s">
        <v>523</v>
      </c>
      <c r="C76" s="7" t="s">
        <v>577</v>
      </c>
      <c r="D76" s="5" t="s">
        <v>679</v>
      </c>
      <c r="E76" s="5" t="s">
        <v>680</v>
      </c>
      <c r="F76" s="7">
        <v>6</v>
      </c>
      <c r="G76" s="5" t="s">
        <v>580</v>
      </c>
      <c r="H76" s="6">
        <v>1.56</v>
      </c>
      <c r="I76" s="7">
        <v>0</v>
      </c>
      <c r="J76" s="6">
        <v>69.5</v>
      </c>
      <c r="K76" s="7">
        <v>0</v>
      </c>
      <c r="L76" s="6">
        <v>48.21</v>
      </c>
      <c r="M76" s="7">
        <v>0</v>
      </c>
      <c r="N76" s="6">
        <f>J76-L76</f>
        <v>21.29</v>
      </c>
    </row>
    <row r="77" spans="1:14">
      <c r="A77" s="7">
        <v>62</v>
      </c>
      <c r="B77" s="5" t="s">
        <v>523</v>
      </c>
      <c r="C77" s="7" t="s">
        <v>601</v>
      </c>
      <c r="D77" s="5" t="s">
        <v>681</v>
      </c>
      <c r="E77" s="5" t="s">
        <v>682</v>
      </c>
      <c r="F77" s="7">
        <v>6</v>
      </c>
      <c r="G77" s="5" t="s">
        <v>604</v>
      </c>
      <c r="H77" s="6">
        <v>1.66</v>
      </c>
      <c r="I77" s="7">
        <v>0</v>
      </c>
      <c r="J77" s="6">
        <v>201.15000000000001</v>
      </c>
      <c r="K77" s="7">
        <v>100</v>
      </c>
      <c r="L77" s="6">
        <v>47.079999999999998</v>
      </c>
      <c r="M77" s="7">
        <v>100</v>
      </c>
      <c r="N77" s="6">
        <f>J77-L77</f>
        <v>154.069999999999993</v>
      </c>
    </row>
    <row r="78" spans="1:14">
      <c r="A78" s="7">
        <v>63</v>
      </c>
      <c r="B78" s="5" t="s">
        <v>523</v>
      </c>
      <c r="C78" s="7" t="s">
        <v>607</v>
      </c>
      <c r="D78" s="5" t="s">
        <v>683</v>
      </c>
      <c r="E78" s="5" t="s">
        <v>684</v>
      </c>
      <c r="F78" s="7">
        <v>6</v>
      </c>
      <c r="G78" s="5" t="s">
        <v>609</v>
      </c>
      <c r="H78" s="6">
        <v>1.51</v>
      </c>
      <c r="I78" s="7">
        <v>0</v>
      </c>
      <c r="J78" s="6">
        <v>162.33000000000001</v>
      </c>
      <c r="K78" s="7">
        <v>0</v>
      </c>
      <c r="L78" s="6">
        <v>20.31</v>
      </c>
      <c r="M78" s="7">
        <v>0</v>
      </c>
      <c r="N78" s="6">
        <f>J78-L78</f>
        <v>142.02000000000001</v>
      </c>
    </row>
    <row r="79" spans="1:14">
      <c r="A79" s="7">
        <v>64</v>
      </c>
      <c r="B79" s="5" t="s">
        <v>523</v>
      </c>
      <c r="C79" s="7" t="s">
        <v>607</v>
      </c>
      <c r="D79" s="5" t="s">
        <v>685</v>
      </c>
      <c r="E79" s="5" t="s">
        <v>686</v>
      </c>
      <c r="F79" s="7">
        <v>6</v>
      </c>
      <c r="G79" s="5" t="s">
        <v>609</v>
      </c>
      <c r="H79" s="6">
        <v>1.21</v>
      </c>
      <c r="I79" s="7">
        <v>0</v>
      </c>
      <c r="J79" s="6">
        <v>318.17000000000002</v>
      </c>
      <c r="K79" s="7">
        <v>0</v>
      </c>
      <c r="L79" s="6">
        <v>87.060000000000002</v>
      </c>
      <c r="M79" s="7">
        <v>0</v>
      </c>
      <c r="N79" s="6">
        <f>J79-L79</f>
        <v>231.11000000000001</v>
      </c>
    </row>
    <row r="80" spans="1:14">
      <c r="A80" s="7">
        <v>65</v>
      </c>
      <c r="B80" s="5" t="s">
        <v>523</v>
      </c>
      <c r="C80" s="7" t="s">
        <v>610</v>
      </c>
      <c r="D80" s="5" t="s">
        <v>687</v>
      </c>
      <c r="E80" s="5" t="s">
        <v>688</v>
      </c>
      <c r="F80" s="7">
        <v>9</v>
      </c>
      <c r="G80" s="5" t="s">
        <v>612</v>
      </c>
      <c r="H80" s="6">
        <v>1.33</v>
      </c>
      <c r="I80" s="7">
        <v>0</v>
      </c>
      <c r="J80" s="6">
        <v>194.63</v>
      </c>
      <c r="K80" s="7">
        <v>100</v>
      </c>
      <c r="L80" s="6">
        <v>50.68</v>
      </c>
      <c r="M80" s="7">
        <v>100</v>
      </c>
      <c r="N80" s="6">
        <f>J80-L80</f>
        <v>143.94999999999999</v>
      </c>
    </row>
    <row r="81" spans="1:14">
      <c r="A81" s="7">
        <v>66</v>
      </c>
      <c r="B81" s="5" t="s">
        <v>523</v>
      </c>
      <c r="C81" s="7" t="s">
        <v>610</v>
      </c>
      <c r="D81" s="5" t="s">
        <v>689</v>
      </c>
      <c r="E81" s="5" t="s">
        <v>690</v>
      </c>
      <c r="F81" s="7">
        <v>6</v>
      </c>
      <c r="G81" s="5" t="s">
        <v>612</v>
      </c>
      <c r="H81" s="6">
        <v>1.58</v>
      </c>
      <c r="I81" s="7">
        <v>0</v>
      </c>
      <c r="J81" s="6">
        <v>211.56</v>
      </c>
      <c r="K81" s="7">
        <v>0</v>
      </c>
      <c r="L81" s="6">
        <v>93.22</v>
      </c>
      <c r="M81" s="7">
        <v>0</v>
      </c>
      <c r="N81" s="6">
        <f>J81-L81</f>
        <v>118.34</v>
      </c>
    </row>
    <row r="82" spans="1:14">
      <c r="A82" s="7">
        <v>67</v>
      </c>
      <c r="B82" s="5" t="s">
        <v>523</v>
      </c>
      <c r="C82" s="7" t="s">
        <v>610</v>
      </c>
      <c r="D82" s="5" t="s">
        <v>691</v>
      </c>
      <c r="E82" s="5" t="s">
        <v>692</v>
      </c>
      <c r="F82" s="7">
        <v>6</v>
      </c>
      <c r="G82" s="5" t="s">
        <v>612</v>
      </c>
      <c r="H82" s="6">
        <v>1.35</v>
      </c>
      <c r="I82" s="7">
        <v>0</v>
      </c>
      <c r="J82" s="6">
        <v>196.94999999999999</v>
      </c>
      <c r="K82" s="7">
        <v>100</v>
      </c>
      <c r="L82" s="6">
        <v>91.45999999999999</v>
      </c>
      <c r="M82" s="7">
        <v>100</v>
      </c>
      <c r="N82" s="6">
        <f>J82-L82</f>
        <v>105.48999999999999</v>
      </c>
    </row>
    <row r="83" spans="1:14">
      <c r="A83" s="7">
        <v>68</v>
      </c>
      <c r="B83" s="5" t="s">
        <v>523</v>
      </c>
      <c r="C83" s="7" t="s">
        <v>610</v>
      </c>
      <c r="D83" s="5" t="s">
        <v>685</v>
      </c>
      <c r="E83" s="5" t="s">
        <v>693</v>
      </c>
      <c r="F83" s="7">
        <v>6</v>
      </c>
      <c r="G83" s="5" t="s">
        <v>612</v>
      </c>
      <c r="H83" s="6">
        <v>1.36</v>
      </c>
      <c r="I83" s="7">
        <v>0</v>
      </c>
      <c r="J83" s="6">
        <v>282.45999999999998</v>
      </c>
      <c r="K83" s="7">
        <v>0</v>
      </c>
      <c r="L83" s="6">
        <v>88.34999999999999</v>
      </c>
      <c r="M83" s="7">
        <v>0</v>
      </c>
      <c r="N83" s="6">
        <f>J83-L83</f>
        <v>194.10999999999999</v>
      </c>
    </row>
    <row r="84" spans="1:14">
      <c r="A84" s="7">
        <v>69</v>
      </c>
      <c r="B84" s="5" t="s">
        <v>523</v>
      </c>
      <c r="C84" s="7" t="s">
        <v>610</v>
      </c>
      <c r="D84" s="5" t="s">
        <v>694</v>
      </c>
      <c r="E84" s="5" t="s">
        <v>695</v>
      </c>
      <c r="F84" s="7">
        <v>6</v>
      </c>
      <c r="G84" s="5" t="s">
        <v>612</v>
      </c>
      <c r="H84" s="6">
        <v>1.48</v>
      </c>
      <c r="I84" s="7">
        <v>0</v>
      </c>
      <c r="J84" s="6">
        <v>186.060000000000002</v>
      </c>
      <c r="K84" s="7">
        <v>0</v>
      </c>
      <c r="L84" s="6">
        <v>112.62</v>
      </c>
      <c r="M84" s="7">
        <v>0</v>
      </c>
      <c r="N84" s="6">
        <f>J84-L84</f>
        <v>73.44</v>
      </c>
    </row>
    <row r="85" spans="1:14">
      <c r="A85" s="7">
        <v>70</v>
      </c>
      <c r="B85" s="5" t="s">
        <v>523</v>
      </c>
      <c r="C85" s="7" t="s">
        <v>625</v>
      </c>
      <c r="D85" s="5" t="s">
        <v>696</v>
      </c>
      <c r="E85" s="5" t="s">
        <v>697</v>
      </c>
      <c r="F85" s="7">
        <v>6</v>
      </c>
      <c r="G85" s="5" t="s">
        <v>628</v>
      </c>
      <c r="H85" s="6">
        <v>1.24</v>
      </c>
      <c r="I85" s="7">
        <v>0</v>
      </c>
      <c r="J85" s="6">
        <v>42.8</v>
      </c>
      <c r="K85" s="7">
        <v>0</v>
      </c>
      <c r="L85" s="6">
        <v>44.48</v>
      </c>
      <c r="M85" s="7">
        <v>0</v>
      </c>
      <c r="N85" s="6">
        <f>J85-L85</f>
        <v>-1.68</v>
      </c>
    </row>
    <row r="86" spans="1:14">
      <c r="A86" s="7">
        <v>71</v>
      </c>
      <c r="B86" s="5" t="s">
        <v>523</v>
      </c>
      <c r="C86" s="7" t="s">
        <v>640</v>
      </c>
      <c r="D86" s="5" t="s">
        <v>698</v>
      </c>
      <c r="E86" s="5" t="s">
        <v>699</v>
      </c>
      <c r="F86" s="7">
        <v>8</v>
      </c>
      <c r="G86" s="5" t="s">
        <v>641</v>
      </c>
      <c r="H86" s="6">
        <v>1.43</v>
      </c>
      <c r="I86" s="7">
        <v>0</v>
      </c>
      <c r="J86" s="6">
        <v>148.5</v>
      </c>
      <c r="K86" s="7">
        <v>100</v>
      </c>
      <c r="L86" s="6">
        <v>42.85</v>
      </c>
      <c r="M86" s="7">
        <v>100</v>
      </c>
      <c r="N86" s="6">
        <f>J86-L86</f>
        <v>105.65000000000001</v>
      </c>
    </row>
    <row r="87" spans="1:14">
      <c r="A87" s="7">
        <v>72</v>
      </c>
      <c r="B87" s="5" t="s">
        <v>523</v>
      </c>
      <c r="C87" s="7" t="s">
        <v>640</v>
      </c>
      <c r="D87" s="5" t="s">
        <v>700</v>
      </c>
      <c r="E87" s="5" t="s">
        <v>701</v>
      </c>
      <c r="F87" s="7">
        <v>7</v>
      </c>
      <c r="G87" s="5" t="s">
        <v>641</v>
      </c>
      <c r="H87" s="6">
        <v>1.12</v>
      </c>
      <c r="I87" s="7">
        <v>0</v>
      </c>
      <c r="J87" s="6">
        <v>147.74000000000001</v>
      </c>
      <c r="K87" s="7">
        <v>0</v>
      </c>
      <c r="L87" s="6">
        <v>47.39</v>
      </c>
      <c r="M87" s="7">
        <v>0</v>
      </c>
      <c r="N87" s="6">
        <f>J87-L87</f>
        <v>100.35000000000001</v>
      </c>
    </row>
    <row r="88" spans="1:14">
      <c r="A88" s="7">
        <v>73</v>
      </c>
      <c r="B88" s="5" t="s">
        <v>523</v>
      </c>
      <c r="C88" s="7" t="s">
        <v>640</v>
      </c>
      <c r="D88" s="5" t="s">
        <v>702</v>
      </c>
      <c r="E88" s="5" t="s">
        <v>703</v>
      </c>
      <c r="F88" s="7">
        <v>6</v>
      </c>
      <c r="G88" s="5" t="s">
        <v>641</v>
      </c>
      <c r="H88" s="6">
        <v>1.42</v>
      </c>
      <c r="I88" s="7">
        <v>0</v>
      </c>
      <c r="J88" s="6">
        <v>182.40000000000001</v>
      </c>
      <c r="K88" s="7">
        <v>0</v>
      </c>
      <c r="L88" s="6">
        <v>86.52</v>
      </c>
      <c r="M88" s="7">
        <v>0</v>
      </c>
      <c r="N88" s="6">
        <f>J88-L88</f>
        <v>95.88000000000001</v>
      </c>
    </row>
    <row r="89" spans="1:14">
      <c r="A89" s="7">
        <v>74</v>
      </c>
      <c r="B89" s="5" t="s">
        <v>523</v>
      </c>
      <c r="C89" s="7" t="s">
        <v>640</v>
      </c>
      <c r="D89" s="5" t="s">
        <v>704</v>
      </c>
      <c r="E89" s="5" t="s">
        <v>705</v>
      </c>
      <c r="F89" s="7">
        <v>7</v>
      </c>
      <c r="G89" s="5" t="s">
        <v>641</v>
      </c>
      <c r="H89" s="6">
        <v>1.14</v>
      </c>
      <c r="I89" s="7">
        <v>0</v>
      </c>
      <c r="J89" s="6">
        <v>194.83000000000001</v>
      </c>
      <c r="K89" s="7">
        <v>100</v>
      </c>
      <c r="L89" s="6">
        <v>65.65000000000001</v>
      </c>
      <c r="M89" s="7">
        <v>100</v>
      </c>
      <c r="N89" s="6">
        <f>J89-L89</f>
        <v>129.18000000000001</v>
      </c>
    </row>
    <row r="90" spans="1:14">
      <c r="A90" s="7">
        <v>75</v>
      </c>
      <c r="B90" s="5" t="s">
        <v>523</v>
      </c>
      <c r="C90" s="7" t="s">
        <v>640</v>
      </c>
      <c r="D90" s="5" t="s">
        <v>706</v>
      </c>
      <c r="E90" s="5" t="s">
        <v>707</v>
      </c>
      <c r="F90" s="7">
        <v>9</v>
      </c>
      <c r="G90" s="5" t="s">
        <v>641</v>
      </c>
      <c r="H90" s="6">
        <v>1.3</v>
      </c>
      <c r="I90" s="7">
        <v>0</v>
      </c>
      <c r="J90" s="6">
        <v>259.75</v>
      </c>
      <c r="K90" s="7">
        <v>0</v>
      </c>
      <c r="L90" s="6">
        <v>94.73999999999999</v>
      </c>
      <c r="M90" s="7">
        <v>0</v>
      </c>
      <c r="N90" s="6">
        <f>J90-L90</f>
        <v>165.0099999999999909</v>
      </c>
    </row>
    <row r="91" spans="1:14">
      <c r="A91" s="7">
        <v>76</v>
      </c>
      <c r="B91" s="5" t="s">
        <v>523</v>
      </c>
      <c r="C91" s="7" t="s">
        <v>640</v>
      </c>
      <c r="D91" s="5" t="s">
        <v>708</v>
      </c>
      <c r="E91" s="5" t="s">
        <v>709</v>
      </c>
      <c r="F91" s="7">
        <v>7</v>
      </c>
      <c r="G91" s="5" t="s">
        <v>641</v>
      </c>
      <c r="H91" s="6">
        <v>1.02</v>
      </c>
      <c r="I91" s="7">
        <v>0</v>
      </c>
      <c r="J91" s="6">
        <v>225.52000000000001</v>
      </c>
      <c r="K91" s="7">
        <v>0</v>
      </c>
      <c r="L91" s="6">
        <v>107.23</v>
      </c>
      <c r="M91" s="7">
        <v>0</v>
      </c>
      <c r="N91" s="6">
        <f>J91-L91</f>
        <v>118.29000000000001</v>
      </c>
    </row>
    <row r="92" spans="1:14">
      <c r="A92" s="7">
        <v>77</v>
      </c>
      <c r="B92" s="5" t="s">
        <v>523</v>
      </c>
      <c r="C92" s="7" t="s">
        <v>640</v>
      </c>
      <c r="D92" s="5" t="s">
        <v>588</v>
      </c>
      <c r="E92" s="5" t="s">
        <v>710</v>
      </c>
      <c r="F92" s="7">
        <v>8</v>
      </c>
      <c r="G92" s="5" t="s">
        <v>641</v>
      </c>
      <c r="H92" s="6">
        <v>1.03</v>
      </c>
      <c r="I92" s="7">
        <v>0</v>
      </c>
      <c r="J92" s="6">
        <v>185.66</v>
      </c>
      <c r="K92" s="7">
        <v>100</v>
      </c>
      <c r="L92" s="6">
        <v>131.43000000000001</v>
      </c>
      <c r="M92" s="7">
        <v>100</v>
      </c>
      <c r="N92" s="6">
        <f>J92-L92</f>
        <v>54.22999999999999</v>
      </c>
    </row>
    <row r="93" spans="1:14">
      <c r="A93" s="7">
        <v>78</v>
      </c>
      <c r="B93" s="5" t="s">
        <v>523</v>
      </c>
      <c r="C93" s="7" t="s">
        <v>642</v>
      </c>
      <c r="D93" s="5" t="s">
        <v>126</v>
      </c>
      <c r="E93" s="5" t="s">
        <v>711</v>
      </c>
      <c r="F93" s="7">
        <v>8</v>
      </c>
      <c r="G93" s="5" t="s">
        <v>645</v>
      </c>
      <c r="H93" s="6">
        <v>1.86</v>
      </c>
      <c r="I93" s="7">
        <v>0</v>
      </c>
      <c r="J93" s="6">
        <v>110.14</v>
      </c>
      <c r="K93" s="7">
        <v>0</v>
      </c>
      <c r="L93" s="6">
        <v>7.57</v>
      </c>
      <c r="M93" s="7">
        <v>0</v>
      </c>
      <c r="N93" s="6">
        <f>J93-L93</f>
        <v>102.56999999999999</v>
      </c>
    </row>
    <row r="94" spans="1:14">
      <c r="A94" s="7">
        <v>79</v>
      </c>
      <c r="B94" s="5" t="s">
        <v>523</v>
      </c>
      <c r="C94" s="7" t="s">
        <v>642</v>
      </c>
      <c r="D94" s="5" t="s">
        <v>712</v>
      </c>
      <c r="E94" s="5" t="s">
        <v>713</v>
      </c>
      <c r="F94" s="7">
        <v>8</v>
      </c>
      <c r="G94" s="5" t="s">
        <v>645</v>
      </c>
      <c r="H94" s="6">
        <v>1.02</v>
      </c>
      <c r="I94" s="7">
        <v>0</v>
      </c>
      <c r="J94" s="6">
        <v>208.80000000000001</v>
      </c>
      <c r="K94" s="7">
        <v>0</v>
      </c>
      <c r="L94" s="6">
        <v>115.95999999999999</v>
      </c>
      <c r="M94" s="7">
        <v>0</v>
      </c>
      <c r="N94" s="6">
        <f>J94-L94</f>
        <v>92.84000000000002</v>
      </c>
    </row>
    <row r="95" spans="1:14">
      <c r="A95" s="7">
        <v>80</v>
      </c>
      <c r="B95" s="5" t="s">
        <v>523</v>
      </c>
      <c r="C95" s="7" t="s">
        <v>642</v>
      </c>
      <c r="D95" s="5" t="s">
        <v>714</v>
      </c>
      <c r="E95" s="5" t="s">
        <v>715</v>
      </c>
      <c r="F95" s="7">
        <v>10</v>
      </c>
      <c r="G95" s="5" t="s">
        <v>645</v>
      </c>
      <c r="H95" s="6">
        <v>1.16</v>
      </c>
      <c r="I95" s="7">
        <v>0</v>
      </c>
      <c r="J95" s="6">
        <v>128.13</v>
      </c>
      <c r="K95" s="7">
        <v>100</v>
      </c>
      <c r="L95" s="6">
        <v>84.39</v>
      </c>
      <c r="M95" s="7">
        <v>100</v>
      </c>
      <c r="N95" s="6">
        <f>J95-L95</f>
        <v>43.73999999999999</v>
      </c>
    </row>
    <row r="96" spans="1:14">
      <c r="A96" s="7">
        <v>81</v>
      </c>
      <c r="B96" s="5" t="s">
        <v>524</v>
      </c>
      <c r="C96" s="7" t="s">
        <v>601</v>
      </c>
      <c r="D96" s="5" t="s">
        <v>716</v>
      </c>
      <c r="E96" s="5" t="s">
        <v>717</v>
      </c>
      <c r="F96" s="7">
        <v>5</v>
      </c>
      <c r="G96" s="5" t="s">
        <v>604</v>
      </c>
      <c r="H96" s="6">
        <v>1.32</v>
      </c>
      <c r="I96" s="7">
        <v>0</v>
      </c>
      <c r="J96" s="6">
        <v>120.7</v>
      </c>
      <c r="K96" s="7">
        <v>0</v>
      </c>
      <c r="L96" s="6">
        <v>101.090000000000003</v>
      </c>
      <c r="M96" s="7">
        <v>0</v>
      </c>
      <c r="N96" s="6">
        <f>J96-L96</f>
        <v>19.61</v>
      </c>
    </row>
    <row r="97" spans="1:14">
      <c r="A97" s="7">
        <v>82</v>
      </c>
      <c r="B97" s="5" t="s">
        <v>524</v>
      </c>
      <c r="C97" s="7" t="s">
        <v>607</v>
      </c>
      <c r="D97" s="5" t="s">
        <v>718</v>
      </c>
      <c r="E97" s="5" t="s">
        <v>719</v>
      </c>
      <c r="F97" s="7">
        <v>5</v>
      </c>
      <c r="G97" s="5" t="s">
        <v>609</v>
      </c>
      <c r="H97" s="6">
        <v>1.34</v>
      </c>
      <c r="I97" s="7">
        <v>0</v>
      </c>
      <c r="J97" s="6">
        <v>173.53999999999999</v>
      </c>
      <c r="K97" s="7">
        <v>0</v>
      </c>
      <c r="L97" s="6">
        <v>24.51</v>
      </c>
      <c r="M97" s="7">
        <v>0</v>
      </c>
      <c r="N97" s="6">
        <f>J97-L97</f>
        <v>149.030000000000001</v>
      </c>
    </row>
    <row r="98" spans="1:14">
      <c r="A98" s="7">
        <v>83</v>
      </c>
      <c r="B98" s="5" t="s">
        <v>524</v>
      </c>
      <c r="C98" s="7" t="s">
        <v>610</v>
      </c>
      <c r="D98" s="5" t="s">
        <v>720</v>
      </c>
      <c r="E98" s="5" t="s">
        <v>721</v>
      </c>
      <c r="F98" s="7">
        <v>5</v>
      </c>
      <c r="G98" s="5" t="s">
        <v>612</v>
      </c>
      <c r="H98" s="6">
        <v>0.85</v>
      </c>
      <c r="I98" s="7">
        <v>0</v>
      </c>
      <c r="J98" s="6">
        <v>156.74000000000001</v>
      </c>
      <c r="K98" s="7">
        <v>0</v>
      </c>
      <c r="L98" s="6">
        <v>33.16</v>
      </c>
      <c r="M98" s="7">
        <v>0</v>
      </c>
      <c r="N98" s="6">
        <f>J98-L98</f>
        <v>123.58000000000001</v>
      </c>
    </row>
    <row r="99" spans="1:14">
      <c r="A99" s="7">
        <v>84</v>
      </c>
      <c r="B99" s="5" t="s">
        <v>524</v>
      </c>
      <c r="C99" s="7" t="s">
        <v>610</v>
      </c>
      <c r="D99" s="5" t="s">
        <v>722</v>
      </c>
      <c r="E99" s="5" t="s">
        <v>723</v>
      </c>
      <c r="F99" s="7">
        <v>5</v>
      </c>
      <c r="G99" s="5" t="s">
        <v>612</v>
      </c>
      <c r="H99" s="6">
        <v>1.29</v>
      </c>
      <c r="I99" s="7">
        <v>0</v>
      </c>
      <c r="J99" s="6">
        <v>189.34999999999999</v>
      </c>
      <c r="K99" s="7">
        <v>100</v>
      </c>
      <c r="L99" s="6">
        <v>111.48999999999999</v>
      </c>
      <c r="M99" s="7">
        <v>100</v>
      </c>
      <c r="N99" s="6">
        <f>J99-L99</f>
        <v>77.86</v>
      </c>
    </row>
    <row r="100" spans="1:14">
      <c r="A100" s="7">
        <v>85</v>
      </c>
      <c r="B100" s="5" t="s">
        <v>524</v>
      </c>
      <c r="C100" s="7" t="s">
        <v>610</v>
      </c>
      <c r="D100" s="5" t="s">
        <v>724</v>
      </c>
      <c r="E100" s="5" t="s">
        <v>725</v>
      </c>
      <c r="F100" s="7">
        <v>5</v>
      </c>
      <c r="G100" s="5" t="s">
        <v>612</v>
      </c>
      <c r="H100" s="6">
        <v>1.21</v>
      </c>
      <c r="I100" s="7">
        <v>0</v>
      </c>
      <c r="J100" s="6">
        <v>99.43000000000001</v>
      </c>
      <c r="K100" s="7">
        <v>0</v>
      </c>
      <c r="L100" s="6">
        <v>70.43000000000001</v>
      </c>
      <c r="M100" s="7">
        <v>0</v>
      </c>
      <c r="N100" s="6">
        <f>J100-L100</f>
        <v>29</v>
      </c>
    </row>
    <row r="101" spans="1:14">
      <c r="A101" s="7">
        <v>86</v>
      </c>
      <c r="B101" s="5" t="s">
        <v>524</v>
      </c>
      <c r="C101" s="7" t="s">
        <v>610</v>
      </c>
      <c r="D101" s="5" t="s">
        <v>726</v>
      </c>
      <c r="E101" s="5" t="s">
        <v>727</v>
      </c>
      <c r="F101" s="7">
        <v>5</v>
      </c>
      <c r="G101" s="5" t="s">
        <v>612</v>
      </c>
      <c r="H101" s="6">
        <v>1.03</v>
      </c>
      <c r="I101" s="7">
        <v>0</v>
      </c>
      <c r="J101" s="6">
        <v>176.41</v>
      </c>
      <c r="K101" s="7">
        <v>0</v>
      </c>
      <c r="L101" s="6">
        <v>62.76</v>
      </c>
      <c r="M101" s="7">
        <v>0</v>
      </c>
      <c r="N101" s="6">
        <f>J101-L101</f>
        <v>113.65000000000001</v>
      </c>
    </row>
    <row r="102" spans="1:14">
      <c r="A102" s="7">
        <v>87</v>
      </c>
      <c r="B102" s="5" t="s">
        <v>524</v>
      </c>
      <c r="C102" s="7" t="s">
        <v>640</v>
      </c>
      <c r="D102" s="5" t="s">
        <v>728</v>
      </c>
      <c r="E102" s="5" t="s">
        <v>729</v>
      </c>
      <c r="F102" s="7">
        <v>5</v>
      </c>
      <c r="G102" s="5" t="s">
        <v>641</v>
      </c>
      <c r="H102" s="6">
        <v>1.15</v>
      </c>
      <c r="I102" s="7">
        <v>0</v>
      </c>
      <c r="J102" s="6">
        <v>113.23</v>
      </c>
      <c r="K102" s="7">
        <v>0</v>
      </c>
      <c r="L102" s="6">
        <v>41.95</v>
      </c>
      <c r="M102" s="7">
        <v>0</v>
      </c>
      <c r="N102" s="6">
        <f>J102-L102</f>
        <v>71.28</v>
      </c>
    </row>
    <row r="103" spans="1:14">
      <c r="A103" s="7">
        <v>88</v>
      </c>
      <c r="B103" s="5" t="s">
        <v>524</v>
      </c>
      <c r="C103" s="7" t="s">
        <v>640</v>
      </c>
      <c r="D103" s="5" t="s">
        <v>722</v>
      </c>
      <c r="E103" s="5" t="s">
        <v>723</v>
      </c>
      <c r="F103" s="7">
        <v>5</v>
      </c>
      <c r="G103" s="5" t="s">
        <v>641</v>
      </c>
      <c r="H103" s="6">
        <v>1.21</v>
      </c>
      <c r="I103" s="7">
        <v>0</v>
      </c>
      <c r="J103" s="6">
        <v>196.31</v>
      </c>
      <c r="K103" s="7">
        <v>100</v>
      </c>
      <c r="L103" s="6">
        <v>108.70999999999999</v>
      </c>
      <c r="M103" s="7">
        <v>100</v>
      </c>
      <c r="N103" s="6">
        <f>J103-L103</f>
        <v>87.60000000000001</v>
      </c>
    </row>
    <row r="104" spans="1:14">
      <c r="A104" s="7">
        <v>89</v>
      </c>
      <c r="B104" s="5" t="s">
        <v>524</v>
      </c>
      <c r="C104" s="7" t="s">
        <v>640</v>
      </c>
      <c r="D104" s="5" t="s">
        <v>730</v>
      </c>
      <c r="E104" s="5" t="s">
        <v>731</v>
      </c>
      <c r="F104" s="7">
        <v>5</v>
      </c>
      <c r="G104" s="5" t="s">
        <v>641</v>
      </c>
      <c r="H104" s="6">
        <v>1.01</v>
      </c>
      <c r="I104" s="7">
        <v>0</v>
      </c>
      <c r="J104" s="6">
        <v>275.35000000000002</v>
      </c>
      <c r="K104" s="7">
        <v>0</v>
      </c>
      <c r="L104" s="6">
        <v>108.16</v>
      </c>
      <c r="M104" s="7">
        <v>0</v>
      </c>
      <c r="N104" s="6">
        <f>J104-L104</f>
        <v>167.19000000000003</v>
      </c>
    </row>
    <row r="105" spans="1:14">
      <c r="A105" s="7">
        <v>90</v>
      </c>
      <c r="B105" s="5" t="s">
        <v>524</v>
      </c>
      <c r="C105" s="7" t="s">
        <v>640</v>
      </c>
      <c r="D105" s="5" t="s">
        <v>548</v>
      </c>
      <c r="E105" s="5" t="s">
        <v>732</v>
      </c>
      <c r="F105" s="7">
        <v>5</v>
      </c>
      <c r="G105" s="5" t="s">
        <v>641</v>
      </c>
      <c r="H105" s="6">
        <v>1.27</v>
      </c>
      <c r="I105" s="7">
        <v>0</v>
      </c>
      <c r="J105" s="6">
        <v>208.97</v>
      </c>
      <c r="K105" s="7">
        <v>0</v>
      </c>
      <c r="L105" s="6">
        <v>109.72</v>
      </c>
      <c r="M105" s="7">
        <v>0</v>
      </c>
      <c r="N105" s="6">
        <f>J105-L105</f>
        <v>99.25</v>
      </c>
    </row>
    <row r="106" spans="1:14">
      <c r="A106" s="7">
        <v>91</v>
      </c>
      <c r="B106" s="5" t="s">
        <v>524</v>
      </c>
      <c r="C106" s="7" t="s">
        <v>642</v>
      </c>
      <c r="D106" s="5" t="s">
        <v>733</v>
      </c>
      <c r="E106" s="5" t="s">
        <v>734</v>
      </c>
      <c r="F106" s="7">
        <v>5</v>
      </c>
      <c r="G106" s="5" t="s">
        <v>645</v>
      </c>
      <c r="H106" s="6">
        <v>1</v>
      </c>
      <c r="I106" s="7">
        <v>0</v>
      </c>
      <c r="J106" s="6">
        <v>161.41999999999999</v>
      </c>
      <c r="K106" s="7">
        <v>0</v>
      </c>
      <c r="L106" s="6">
        <v>21.62</v>
      </c>
      <c r="M106" s="7">
        <v>0</v>
      </c>
      <c r="N106" s="6">
        <f>J106-L106</f>
        <v>139.79999999999998</v>
      </c>
    </row>
    <row r="107" spans="1:14">
      <c r="A107" s="7">
        <v>92</v>
      </c>
      <c r="B107" s="5" t="s">
        <v>524</v>
      </c>
      <c r="C107" s="7" t="s">
        <v>642</v>
      </c>
      <c r="D107" s="5" t="s">
        <v>735</v>
      </c>
      <c r="E107" s="5" t="s">
        <v>736</v>
      </c>
      <c r="F107" s="7">
        <v>5</v>
      </c>
      <c r="G107" s="5" t="s">
        <v>645</v>
      </c>
      <c r="H107" s="6">
        <v>1.33</v>
      </c>
      <c r="I107" s="7">
        <v>0</v>
      </c>
      <c r="J107" s="6">
        <v>90.58</v>
      </c>
      <c r="K107" s="7">
        <v>0</v>
      </c>
      <c r="L107" s="6">
        <v>43.15</v>
      </c>
      <c r="M107" s="7">
        <v>0</v>
      </c>
      <c r="N107" s="6">
        <f>J107-L107</f>
        <v>47.43</v>
      </c>
    </row>
    <row r="108" spans="1:14">
      <c r="A108" s="7">
        <v>93</v>
      </c>
      <c r="B108" s="5" t="s">
        <v>524</v>
      </c>
      <c r="C108" s="7" t="s">
        <v>642</v>
      </c>
      <c r="D108" s="5" t="s">
        <v>722</v>
      </c>
      <c r="E108" s="5" t="s">
        <v>723</v>
      </c>
      <c r="F108" s="7">
        <v>5</v>
      </c>
      <c r="G108" s="5" t="s">
        <v>645</v>
      </c>
      <c r="H108" s="6">
        <v>1.16</v>
      </c>
      <c r="I108" s="7">
        <v>0</v>
      </c>
      <c r="J108" s="6">
        <v>224.41999999999999</v>
      </c>
      <c r="K108" s="7">
        <v>100</v>
      </c>
      <c r="L108" s="6">
        <v>132.19</v>
      </c>
      <c r="M108" s="7">
        <v>100</v>
      </c>
      <c r="N108" s="6">
        <f>J108-L108</f>
        <v>92.22999999999999</v>
      </c>
    </row>
    <row r="109" spans="1:14">
      <c r="A109" s="7">
        <v>94</v>
      </c>
      <c r="B109" s="5" t="s">
        <v>524</v>
      </c>
      <c r="C109" s="7" t="s">
        <v>642</v>
      </c>
      <c r="D109" s="5" t="s">
        <v>737</v>
      </c>
      <c r="E109" s="5" t="s">
        <v>738</v>
      </c>
      <c r="F109" s="7">
        <v>5</v>
      </c>
      <c r="G109" s="5" t="s">
        <v>645</v>
      </c>
      <c r="H109" s="6">
        <v>1.28</v>
      </c>
      <c r="I109" s="7">
        <v>0</v>
      </c>
      <c r="J109" s="6">
        <v>254.91999999999999</v>
      </c>
      <c r="K109" s="7">
        <v>0</v>
      </c>
      <c r="L109" s="6">
        <v>101.3</v>
      </c>
      <c r="M109" s="7">
        <v>0</v>
      </c>
      <c r="N109" s="6">
        <f>J109-L109</f>
        <v>153.62</v>
      </c>
    </row>
    <row r="110" spans="1:14">
      <c r="A110" s="7">
        <v>95</v>
      </c>
      <c r="B110" s="5" t="s">
        <v>524</v>
      </c>
      <c r="C110" s="7" t="s">
        <v>642</v>
      </c>
      <c r="D110" s="5" t="s">
        <v>739</v>
      </c>
      <c r="E110" s="5" t="s">
        <v>740</v>
      </c>
      <c r="F110" s="7">
        <v>10</v>
      </c>
      <c r="G110" s="5" t="s">
        <v>645</v>
      </c>
      <c r="H110" s="6">
        <v>1.29</v>
      </c>
      <c r="I110" s="7">
        <v>0</v>
      </c>
      <c r="J110" s="6">
        <v>317.69999999999999</v>
      </c>
      <c r="K110" s="7">
        <v>100</v>
      </c>
      <c r="L110" s="6">
        <v>94.2</v>
      </c>
      <c r="M110" s="7">
        <v>100</v>
      </c>
      <c r="N110" s="6">
        <f>J110-L110</f>
        <v>223.5</v>
      </c>
    </row>
    <row r="111" spans="1:14">
      <c r="A111" s="7">
        <v>96</v>
      </c>
      <c r="B111" s="5" t="s">
        <v>524</v>
      </c>
      <c r="C111" s="7" t="s">
        <v>642</v>
      </c>
      <c r="D111" s="5" t="s">
        <v>741</v>
      </c>
      <c r="E111" s="5" t="s">
        <v>742</v>
      </c>
      <c r="F111" s="7">
        <v>6</v>
      </c>
      <c r="G111" s="5" t="s">
        <v>645</v>
      </c>
      <c r="H111" s="6">
        <v>1.5</v>
      </c>
      <c r="I111" s="7">
        <v>0</v>
      </c>
      <c r="J111" s="6">
        <v>236.02000000000001</v>
      </c>
      <c r="K111" s="7">
        <v>0</v>
      </c>
      <c r="L111" s="6">
        <v>77.66</v>
      </c>
      <c r="M111" s="7">
        <v>0</v>
      </c>
      <c r="N111" s="6">
        <f>J111-L111</f>
        <v>158.36000000000001</v>
      </c>
    </row>
    <row r="112" spans="1:14">
      <c r="A112" s="7">
        <v>97</v>
      </c>
      <c r="B112" s="5" t="s">
        <v>524</v>
      </c>
      <c r="C112" s="7" t="s">
        <v>642</v>
      </c>
      <c r="D112" s="5" t="s">
        <v>726</v>
      </c>
      <c r="E112" s="5" t="s">
        <v>743</v>
      </c>
      <c r="F112" s="7">
        <v>5</v>
      </c>
      <c r="G112" s="5" t="s">
        <v>645</v>
      </c>
      <c r="H112" s="6">
        <v>1.27</v>
      </c>
      <c r="I112" s="7">
        <v>0</v>
      </c>
      <c r="J112" s="6">
        <v>149.77000000000001</v>
      </c>
      <c r="K112" s="7">
        <v>0</v>
      </c>
      <c r="L112" s="6">
        <v>104.31999999999999</v>
      </c>
      <c r="M112" s="7">
        <v>0</v>
      </c>
      <c r="N112" s="6">
        <f>J112-L112</f>
        <v>45.45000000000002</v>
      </c>
    </row>
    <row r="113" spans="1:14">
      <c r="A113" s="7">
        <v>98</v>
      </c>
      <c r="B113" s="5" t="s">
        <v>524</v>
      </c>
      <c r="C113" s="7" t="s">
        <v>642</v>
      </c>
      <c r="D113" s="5" t="s">
        <v>744</v>
      </c>
      <c r="E113" s="5" t="s">
        <v>745</v>
      </c>
      <c r="F113" s="7">
        <v>6</v>
      </c>
      <c r="G113" s="5" t="s">
        <v>645</v>
      </c>
      <c r="H113" s="6">
        <v>1.83</v>
      </c>
      <c r="I113" s="7">
        <v>0</v>
      </c>
      <c r="J113" s="6">
        <v>333.26999999999998</v>
      </c>
      <c r="K113" s="7">
        <v>0</v>
      </c>
      <c r="L113" s="6">
        <v>142.24000000000001</v>
      </c>
      <c r="M113" s="7">
        <v>0</v>
      </c>
      <c r="N113" s="6">
        <f>J113-L113</f>
        <v>191.029999999999973</v>
      </c>
    </row>
    <row r="114" spans="1:14">
      <c r="A114" s="7">
        <v>99</v>
      </c>
      <c r="B114" s="5" t="s">
        <v>524</v>
      </c>
      <c r="C114" s="7" t="s">
        <v>642</v>
      </c>
      <c r="D114" s="5" t="s">
        <v>746</v>
      </c>
      <c r="E114" s="5" t="s">
        <v>747</v>
      </c>
      <c r="F114" s="7">
        <v>7</v>
      </c>
      <c r="G114" s="5" t="s">
        <v>645</v>
      </c>
      <c r="H114" s="6">
        <v>1.3</v>
      </c>
      <c r="I114" s="7">
        <v>0</v>
      </c>
      <c r="J114" s="6">
        <v>284.64999999999998</v>
      </c>
      <c r="K114" s="7">
        <v>100</v>
      </c>
      <c r="L114" s="6">
        <v>158.94</v>
      </c>
      <c r="M114" s="7">
        <v>100</v>
      </c>
      <c r="N114" s="6">
        <f>J114-L114</f>
        <v>125.70999999999998</v>
      </c>
    </row>
    <row r="115" spans="1:14">
      <c r="A115" s="7">
        <v>100</v>
      </c>
      <c r="B115" s="5" t="s">
        <v>524</v>
      </c>
      <c r="C115" s="7" t="s">
        <v>642</v>
      </c>
      <c r="D115" s="5" t="s">
        <v>748</v>
      </c>
      <c r="E115" s="5" t="s">
        <v>749</v>
      </c>
      <c r="F115" s="7">
        <v>6</v>
      </c>
      <c r="G115" s="5" t="s">
        <v>645</v>
      </c>
      <c r="H115" s="6">
        <v>1.41</v>
      </c>
      <c r="I115" s="7">
        <v>0</v>
      </c>
      <c r="J115" s="6">
        <v>265.29000000000002</v>
      </c>
      <c r="K115" s="7">
        <v>0</v>
      </c>
      <c r="L115" s="6">
        <v>79.34</v>
      </c>
      <c r="M115" s="7">
        <v>0</v>
      </c>
      <c r="N115" s="6">
        <f>J115-L115</f>
        <v>185.95000000000002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F8" sqref="F8:F9"/>
    </sheetView>
  </sheetViews>
  <sheetFormatPr defaultRowHeight="14.4" outlineLevelRow="0" outlineLevelCol="0"/>
  <cols>
    <col min="1" max="1" width="121.399" bestFit="true" customWidth="true" style="0"/>
    <col min="2" max="2" width="49.417" bestFit="true" customWidth="true" style="0"/>
    <col min="3" max="3" width="22.138" bestFit="true" customWidth="true" style="0"/>
    <col min="4" max="4" width="30.707" bestFit="true" customWidth="true" style="0"/>
    <col min="5" max="5" width="29.707" bestFit="true" customWidth="true" style="0"/>
    <col min="6" max="6" width="40.419" bestFit="true" customWidth="true" style="0"/>
    <col min="7" max="7" width="83.694" bestFit="true" customWidth="true" style="0"/>
  </cols>
  <sheetData>
    <row r="1" spans="1:7">
      <c r="A1" s="21" t="s">
        <v>750</v>
      </c>
    </row>
    <row r="2" spans="1:7">
      <c r="A2" s="23" t="s">
        <v>751</v>
      </c>
    </row>
    <row r="4" spans="1:7">
      <c r="A4" s="1" t="s">
        <v>752</v>
      </c>
      <c r="B4" s="1" t="s">
        <v>753</v>
      </c>
      <c r="C4" s="1" t="s">
        <v>754</v>
      </c>
      <c r="D4" s="1" t="s">
        <v>755</v>
      </c>
      <c r="E4" s="1" t="s">
        <v>756</v>
      </c>
      <c r="F4" s="1" t="s">
        <v>757</v>
      </c>
      <c r="G4" s="1" t="s">
        <v>758</v>
      </c>
    </row>
    <row r="5" spans="1:7">
      <c r="A5" s="5" t="s">
        <v>759</v>
      </c>
      <c r="B5" s="5" t="s">
        <v>760</v>
      </c>
      <c r="C5" s="20">
        <v>10469</v>
      </c>
      <c r="D5" s="5" t="s">
        <v>761</v>
      </c>
      <c r="E5" s="24">
        <f>(C5*512)/(1024*1024)</f>
        <v>5.11181640625</v>
      </c>
      <c r="F5" s="5" t="s">
        <v>761</v>
      </c>
      <c r="G5" s="5" t="s">
        <v>762</v>
      </c>
    </row>
    <row r="6" spans="1:7">
      <c r="A6" s="5" t="s">
        <v>763</v>
      </c>
      <c r="B6" s="5" t="s">
        <v>764</v>
      </c>
      <c r="C6" s="20">
        <v>110102</v>
      </c>
      <c r="D6" s="37">
        <f>C6/$C$6</f>
        <v>1</v>
      </c>
      <c r="E6" s="24">
        <f>(C6*128)/(1024*1024)</f>
        <v>13.440185546875</v>
      </c>
      <c r="F6" s="5" t="s">
        <v>761</v>
      </c>
      <c r="G6" s="5" t="s">
        <v>765</v>
      </c>
    </row>
    <row r="7" spans="1:7">
      <c r="A7" s="5" t="s">
        <v>766</v>
      </c>
      <c r="B7" s="5" t="s">
        <v>767</v>
      </c>
      <c r="C7" s="20">
        <v>879327</v>
      </c>
      <c r="D7" s="37">
        <f>C7/$C$6</f>
        <v>7.98647617663621</v>
      </c>
      <c r="E7" s="24">
        <f>(C7*128)/(1024*1024)</f>
        <v>107.3397216796875</v>
      </c>
      <c r="F7" s="5" t="s">
        <v>768</v>
      </c>
      <c r="G7" s="5" t="s">
        <v>769</v>
      </c>
    </row>
    <row r="8" spans="1:7">
      <c r="A8" s="5" t="s">
        <v>770</v>
      </c>
      <c r="B8" s="5" t="s">
        <v>771</v>
      </c>
      <c r="C8" s="20">
        <v>330306</v>
      </c>
      <c r="D8" s="37">
        <f>C8/$C$6</f>
        <v>3</v>
      </c>
      <c r="E8" s="24">
        <f>(C8*128)/(1024*1024)</f>
        <v>40.320556640625</v>
      </c>
      <c r="F8" s="25">
        <f>(C$7-C8)/C$7</f>
        <v>0.62436499732182</v>
      </c>
      <c r="G8" s="5" t="s">
        <v>772</v>
      </c>
    </row>
    <row r="9" spans="1:7">
      <c r="A9" s="5" t="s">
        <v>773</v>
      </c>
      <c r="B9" s="5" t="s">
        <v>774</v>
      </c>
      <c r="C9" s="20">
        <v>550510</v>
      </c>
      <c r="D9" s="37">
        <f>C9/$C$6</f>
        <v>5</v>
      </c>
      <c r="E9" s="24">
        <f>(C9*128)/(1024*1024)</f>
        <v>67.200927734375</v>
      </c>
      <c r="F9" s="25">
        <f>(C$7-C9)/C$7</f>
        <v>0.37394166220303</v>
      </c>
      <c r="G9" s="5" t="s">
        <v>775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2"/>
  <sheetViews>
    <sheetView tabSelected="0" workbookViewId="0" showGridLines="true" showRowColHeaders="1">
      <selection activeCell="B40" sqref="B40:C40"/>
    </sheetView>
  </sheetViews>
  <sheetFormatPr defaultRowHeight="14.4" outlineLevelRow="0" outlineLevelCol="0"/>
  <cols>
    <col min="1" max="1" width="34" customWidth="true" style="0"/>
    <col min="2" max="2" width="30" customWidth="true" style="0"/>
    <col min="3" max="3" width="30" customWidth="true" style="0"/>
    <col min="4" max="4" width="30" customWidth="true" style="0"/>
    <col min="5" max="5" width="9" customWidth="true" style="0"/>
    <col min="6" max="6" width="34" customWidth="true" style="0"/>
    <col min="7" max="7" width="40" customWidth="true" style="0"/>
    <col min="8" max="8" width="30" customWidth="true" style="0"/>
    <col min="9" max="9" width="42" customWidth="true" style="0"/>
  </cols>
  <sheetData>
    <row r="1" spans="1:9">
      <c r="A1" s="21" t="s">
        <v>776</v>
      </c>
    </row>
    <row r="2" spans="1:9">
      <c r="A2" t="s">
        <v>777</v>
      </c>
    </row>
    <row r="4" spans="1:9">
      <c r="A4" s="1" t="s">
        <v>778</v>
      </c>
      <c r="B4" s="1" t="s">
        <v>779</v>
      </c>
      <c r="C4" s="1" t="s">
        <v>780</v>
      </c>
      <c r="D4" s="1" t="s">
        <v>781</v>
      </c>
      <c r="E4" s="1" t="s">
        <v>782</v>
      </c>
      <c r="F4" s="1" t="s">
        <v>783</v>
      </c>
      <c r="G4" s="1" t="s">
        <v>784</v>
      </c>
      <c r="H4" s="1" t="s">
        <v>785</v>
      </c>
      <c r="I4" s="1" t="s">
        <v>786</v>
      </c>
    </row>
    <row r="5" spans="1:9">
      <c r="A5" s="39" t="s">
        <v>787</v>
      </c>
      <c r="B5" s="39" t="s">
        <v>445</v>
      </c>
      <c r="C5" s="38" t="s">
        <v>788</v>
      </c>
      <c r="D5" s="38" t="str">
        <f>'Pengujian_100_Sampel'!G121</f>
        <v>1.51 ± 0.07</v>
      </c>
      <c r="E5" s="38" t="str">
        <f>IF(D5=C5,"YA","TIDAK")</f>
        <v>YA</v>
      </c>
      <c r="F5" s="38" t="s">
        <v>789</v>
      </c>
      <c r="G5" s="38" t="s">
        <v>790</v>
      </c>
      <c r="H5" s="38" t="str">
        <f>"1,984 × "&amp;TEXT('Pengujian_100_Sampel'!G108,"0.00")&amp;" / √100 = "&amp;TEXT('Pengujian_100_Sampel'!G111,"0.00")</f>
        <v>1,984 × 0.37 / √100 = 0.07</v>
      </c>
      <c r="I5" s="38" t="s">
        <v>791</v>
      </c>
    </row>
    <row r="6" spans="1:9">
      <c r="A6" s="39" t="s">
        <v>787</v>
      </c>
      <c r="B6" s="39" t="s">
        <v>792</v>
      </c>
      <c r="C6" s="38" t="s">
        <v>793</v>
      </c>
      <c r="D6" s="38" t="str">
        <f>'Pengujian_100_Sampel'!L121</f>
        <v>248.43 ± 13.13</v>
      </c>
      <c r="E6" s="38" t="str">
        <f>IF(D6=C6,"YA","TIDAK")</f>
        <v>YA</v>
      </c>
      <c r="F6" s="38" t="s">
        <v>789</v>
      </c>
      <c r="G6" s="38" t="s">
        <v>790</v>
      </c>
      <c r="H6" s="38" t="str">
        <f>"1,984 × "&amp;TEXT('Pengujian_100_Sampel'!L108,"0.00")&amp;" / √100 = "&amp;TEXT('Pengujian_100_Sampel'!L111,"0.00")</f>
        <v>1,984 × 66.20 / √100 = 13.13</v>
      </c>
      <c r="I6" s="38" t="s">
        <v>794</v>
      </c>
    </row>
    <row r="7" spans="1:9">
      <c r="A7" s="39" t="s">
        <v>787</v>
      </c>
      <c r="B7" s="39" t="s">
        <v>795</v>
      </c>
      <c r="C7" s="38" t="s">
        <v>796</v>
      </c>
      <c r="D7" s="38" t="str">
        <f>'Pengujian_100_Sampel'!Q121</f>
        <v>74.58 ± 24.82</v>
      </c>
      <c r="E7" s="38" t="str">
        <f>IF(D7=C7,"YA","TIDAK")</f>
        <v>YA</v>
      </c>
      <c r="F7" s="38" t="s">
        <v>789</v>
      </c>
      <c r="G7" s="38" t="s">
        <v>790</v>
      </c>
      <c r="H7" s="38" t="str">
        <f>"1,984 × "&amp;TEXT('Pengujian_100_Sampel'!Q108,"0.00")&amp;" / √100 = "&amp;TEXT('Pengujian_100_Sampel'!Q111,"0.00")</f>
        <v>1,984 × 125.09 / √100 = 24.82</v>
      </c>
      <c r="I7" s="38" t="s">
        <v>797</v>
      </c>
    </row>
    <row r="8" spans="1:9">
      <c r="A8" s="40" t="s">
        <v>798</v>
      </c>
      <c r="B8" s="40" t="s">
        <v>799</v>
      </c>
      <c r="C8" s="38" t="s">
        <v>800</v>
      </c>
      <c r="D8" s="38" t="str">
        <f>'Diversitas_Kueri_Tabel9'!K5</f>
        <v>151.87 ± 46.2</v>
      </c>
      <c r="E8" s="38" t="str">
        <f>IF(D8=C8,"YA","TIDAK")</f>
        <v>YA</v>
      </c>
      <c r="F8" s="38" t="s">
        <v>801</v>
      </c>
      <c r="G8" s="38" t="s">
        <v>802</v>
      </c>
      <c r="H8" s="38" t="str">
        <f>"s = "&amp;TEXT('Diversitas_Kueri_Tabel9'!I5,"0.00")</f>
        <v>s = 46.23</v>
      </c>
      <c r="I8" s="38" t="s">
        <v>803</v>
      </c>
    </row>
    <row r="9" spans="1:9">
      <c r="A9" s="40" t="s">
        <v>798</v>
      </c>
      <c r="B9" s="40" t="s">
        <v>804</v>
      </c>
      <c r="C9" s="38" t="s">
        <v>805</v>
      </c>
      <c r="D9" s="38" t="str">
        <f>'Diversitas_Kueri_Tabel9'!L5</f>
        <v>81.26 ± 61.6</v>
      </c>
      <c r="E9" s="38" t="str">
        <f>IF(D9=C9,"YA","TIDAK")</f>
        <v>YA</v>
      </c>
      <c r="F9" s="38" t="s">
        <v>801</v>
      </c>
      <c r="G9" s="38" t="s">
        <v>802</v>
      </c>
      <c r="H9" s="38" t="str">
        <f>"s = "&amp;TEXT('Diversitas_Kueri_Tabel9'!J5,"0.00")</f>
        <v>s = 61.56</v>
      </c>
      <c r="I9" s="38" t="s">
        <v>806</v>
      </c>
    </row>
    <row r="10" spans="1:9">
      <c r="A10" s="40" t="s">
        <v>798</v>
      </c>
      <c r="B10" s="40" t="s">
        <v>807</v>
      </c>
      <c r="C10" s="38" t="s">
        <v>808</v>
      </c>
      <c r="D10" s="38" t="str">
        <f>'Diversitas_Kueri_Tabel9'!K6</f>
        <v>197.10 ± 67.1</v>
      </c>
      <c r="E10" s="38" t="str">
        <f>IF(D10=C10,"YA","TIDAK")</f>
        <v>YA</v>
      </c>
      <c r="F10" s="38" t="s">
        <v>801</v>
      </c>
      <c r="G10" s="38" t="s">
        <v>802</v>
      </c>
      <c r="H10" s="38" t="str">
        <f>"s = "&amp;TEXT('Diversitas_Kueri_Tabel9'!I6,"0.00")</f>
        <v>s = 67.14</v>
      </c>
      <c r="I10" s="38" t="s">
        <v>809</v>
      </c>
    </row>
    <row r="11" spans="1:9">
      <c r="A11" s="40" t="s">
        <v>798</v>
      </c>
      <c r="B11" s="40" t="s">
        <v>810</v>
      </c>
      <c r="C11" s="38" t="s">
        <v>811</v>
      </c>
      <c r="D11" s="38" t="str">
        <f>'Diversitas_Kueri_Tabel9'!L6</f>
        <v>81.30 ± 37.7</v>
      </c>
      <c r="E11" s="38" t="str">
        <f>IF(D11=C11,"YA","TIDAK")</f>
        <v>YA</v>
      </c>
      <c r="F11" s="38" t="s">
        <v>801</v>
      </c>
      <c r="G11" s="38" t="s">
        <v>802</v>
      </c>
      <c r="H11" s="38" t="str">
        <f>"s = "&amp;TEXT('Diversitas_Kueri_Tabel9'!J6,"0.00")</f>
        <v>s = 37.71</v>
      </c>
      <c r="I11" s="38" t="s">
        <v>812</v>
      </c>
    </row>
    <row r="12" spans="1:9">
      <c r="A12" s="40" t="s">
        <v>798</v>
      </c>
      <c r="B12" s="40" t="s">
        <v>813</v>
      </c>
      <c r="C12" s="38" t="s">
        <v>814</v>
      </c>
      <c r="D12" s="38" t="str">
        <f>'Diversitas_Kueri_Tabel9'!K7</f>
        <v>252.58 ± 67.1</v>
      </c>
      <c r="E12" s="38" t="str">
        <f>IF(D12=C12,"YA","TIDAK")</f>
        <v>YA</v>
      </c>
      <c r="F12" s="38" t="s">
        <v>801</v>
      </c>
      <c r="G12" s="38" t="s">
        <v>802</v>
      </c>
      <c r="H12" s="38" t="str">
        <f>"s = "&amp;TEXT('Diversitas_Kueri_Tabel9'!I7,"0.00")</f>
        <v>s = 67.07</v>
      </c>
      <c r="I12" s="38" t="s">
        <v>815</v>
      </c>
    </row>
    <row r="13" spans="1:9">
      <c r="A13" s="40" t="s">
        <v>798</v>
      </c>
      <c r="B13" s="40" t="s">
        <v>816</v>
      </c>
      <c r="C13" s="38" t="s">
        <v>817</v>
      </c>
      <c r="D13" s="38" t="str">
        <f>'Diversitas_Kueri_Tabel9'!L7</f>
        <v>79.43 ± 34.0</v>
      </c>
      <c r="E13" s="38" t="str">
        <f>IF(D13=C13,"YA","TIDAK")</f>
        <v>YA</v>
      </c>
      <c r="F13" s="38" t="s">
        <v>801</v>
      </c>
      <c r="G13" s="38" t="s">
        <v>802</v>
      </c>
      <c r="H13" s="38" t="str">
        <f>"s = "&amp;TEXT('Diversitas_Kueri_Tabel9'!J7,"0.00")</f>
        <v>s = 33.98</v>
      </c>
      <c r="I13" s="38" t="s">
        <v>818</v>
      </c>
    </row>
    <row r="14" spans="1:9">
      <c r="A14" s="40" t="s">
        <v>798</v>
      </c>
      <c r="B14" s="40" t="s">
        <v>819</v>
      </c>
      <c r="C14" s="38" t="s">
        <v>820</v>
      </c>
      <c r="D14" s="38" t="str">
        <f>'Diversitas_Kueri_Tabel9'!K8</f>
        <v>182.85 ± 65.6</v>
      </c>
      <c r="E14" s="38" t="str">
        <f>IF(D14=C14,"YA","TIDAK")</f>
        <v>YA</v>
      </c>
      <c r="F14" s="38" t="s">
        <v>801</v>
      </c>
      <c r="G14" s="38" t="s">
        <v>802</v>
      </c>
      <c r="H14" s="38" t="str">
        <f>"s = "&amp;TEXT('Diversitas_Kueri_Tabel9'!I8,"0.00")</f>
        <v>s = 65.65</v>
      </c>
      <c r="I14" s="38" t="s">
        <v>821</v>
      </c>
    </row>
    <row r="15" spans="1:9">
      <c r="A15" s="40" t="s">
        <v>798</v>
      </c>
      <c r="B15" s="40" t="s">
        <v>822</v>
      </c>
      <c r="C15" s="38" t="s">
        <v>823</v>
      </c>
      <c r="D15" s="38" t="str">
        <f>'Diversitas_Kueri_Tabel9'!L8</f>
        <v>73.36 ± 33.4</v>
      </c>
      <c r="E15" s="38" t="str">
        <f>IF(D15=C15,"YA","TIDAK")</f>
        <v>YA</v>
      </c>
      <c r="F15" s="38" t="s">
        <v>801</v>
      </c>
      <c r="G15" s="38" t="s">
        <v>802</v>
      </c>
      <c r="H15" s="38" t="str">
        <f>"s = "&amp;TEXT('Diversitas_Kueri_Tabel9'!J8,"0.00")</f>
        <v>s = 33.44</v>
      </c>
      <c r="I15" s="38" t="s">
        <v>824</v>
      </c>
    </row>
    <row r="16" spans="1:9">
      <c r="A16" s="40" t="s">
        <v>798</v>
      </c>
      <c r="B16" s="40" t="s">
        <v>825</v>
      </c>
      <c r="C16" s="38" t="s">
        <v>826</v>
      </c>
      <c r="D16" s="38" t="str">
        <f>'Diversitas_Kueri_Tabel9'!K9</f>
        <v>201.40 ± 71.4</v>
      </c>
      <c r="E16" s="38" t="str">
        <f>IF(D16=C16,"YA","TIDAK")</f>
        <v>YA</v>
      </c>
      <c r="F16" s="38" t="s">
        <v>801</v>
      </c>
      <c r="G16" s="38" t="s">
        <v>802</v>
      </c>
      <c r="H16" s="38" t="str">
        <f>"s = "&amp;TEXT('Diversitas_Kueri_Tabel9'!I9,"0.00")</f>
        <v>s = 71.39</v>
      </c>
      <c r="I16" s="38" t="s">
        <v>827</v>
      </c>
    </row>
    <row r="17" spans="1:9">
      <c r="A17" s="40" t="s">
        <v>798</v>
      </c>
      <c r="B17" s="40" t="s">
        <v>828</v>
      </c>
      <c r="C17" s="38" t="s">
        <v>829</v>
      </c>
      <c r="D17" s="38" t="str">
        <f>'Diversitas_Kueri_Tabel9'!L9</f>
        <v>86.35 ± 39.1</v>
      </c>
      <c r="E17" s="38" t="str">
        <f>IF(D17=C17,"YA","TIDAK")</f>
        <v>YA</v>
      </c>
      <c r="F17" s="38" t="s">
        <v>801</v>
      </c>
      <c r="G17" s="38" t="s">
        <v>802</v>
      </c>
      <c r="H17" s="38" t="str">
        <f>"s = "&amp;TEXT('Diversitas_Kueri_Tabel9'!J9,"0.00")</f>
        <v>s = 39.13</v>
      </c>
      <c r="I17" s="38" t="s">
        <v>830</v>
      </c>
    </row>
    <row r="18" spans="1:9">
      <c r="A18" s="40" t="s">
        <v>798</v>
      </c>
      <c r="B18" s="40" t="s">
        <v>831</v>
      </c>
      <c r="C18" s="38" t="s">
        <v>832</v>
      </c>
      <c r="D18" s="38" t="str">
        <f>'Diversitas_Kueri_Tabel9'!K10</f>
        <v>197.16 ± 70.9</v>
      </c>
      <c r="E18" s="38" t="str">
        <f>IF(D18=C18,"YA","TIDAK")</f>
        <v>YA</v>
      </c>
      <c r="F18" s="38" t="s">
        <v>801</v>
      </c>
      <c r="G18" s="38" t="s">
        <v>802</v>
      </c>
      <c r="H18" s="38" t="str">
        <f>"s = "&amp;TEXT('Diversitas_Kueri_Tabel9'!I10,"0.00")</f>
        <v>s = 70.88</v>
      </c>
      <c r="I18" s="38" t="s">
        <v>833</v>
      </c>
    </row>
    <row r="19" spans="1:9">
      <c r="A19" s="40" t="s">
        <v>798</v>
      </c>
      <c r="B19" s="40" t="s">
        <v>834</v>
      </c>
      <c r="C19" s="38" t="s">
        <v>835</v>
      </c>
      <c r="D19" s="38" t="str">
        <f>'Diversitas_Kueri_Tabel9'!L10</f>
        <v>80.34 ± 41.8</v>
      </c>
      <c r="E19" s="38" t="str">
        <f>IF(D19=C19,"YA","TIDAK")</f>
        <v>YA</v>
      </c>
      <c r="F19" s="38" t="s">
        <v>801</v>
      </c>
      <c r="G19" s="38" t="s">
        <v>802</v>
      </c>
      <c r="H19" s="38" t="str">
        <f>"s = "&amp;TEXT('Diversitas_Kueri_Tabel9'!J10,"0.00")</f>
        <v>s = 41.81</v>
      </c>
      <c r="I19" s="38" t="s">
        <v>836</v>
      </c>
    </row>
    <row r="21" spans="1:9">
      <c r="A21" s="12" t="s">
        <v>837</v>
      </c>
    </row>
    <row r="24" spans="1:9">
      <c r="A24" s="21" t="s">
        <v>838</v>
      </c>
    </row>
    <row r="25" spans="1:9">
      <c r="A25" t="s">
        <v>839</v>
      </c>
    </row>
    <row r="27" spans="1:9">
      <c r="A27" s="1" t="s">
        <v>840</v>
      </c>
      <c r="B27" s="1" t="s">
        <v>841</v>
      </c>
      <c r="C27" s="1" t="s">
        <v>842</v>
      </c>
      <c r="D27" s="1" t="s">
        <v>843</v>
      </c>
    </row>
    <row r="28" spans="1:9">
      <c r="A28" s="5" t="s">
        <v>844</v>
      </c>
      <c r="B28" s="5">
        <f>'Pengujian_100_Sampel'!Q110</f>
        <v>100</v>
      </c>
      <c r="C28" s="5">
        <f>COUNTIF('Pengujian_100_Sampel'!Q3:Q102,"&gt;=0")</f>
        <v>98</v>
      </c>
      <c r="D28" s="5" t="s">
        <v>845</v>
      </c>
    </row>
    <row r="29" spans="1:9">
      <c r="A29" s="5" t="s">
        <v>846</v>
      </c>
      <c r="B29" s="5">
        <f>'Pengujian_100_Sampel'!Q123</f>
        <v>2</v>
      </c>
      <c r="C29" s="5">
        <f>0</f>
        <v>0</v>
      </c>
      <c r="D29" s="5" t="s">
        <v>847</v>
      </c>
    </row>
    <row r="30" spans="1:9">
      <c r="A30" s="5" t="s">
        <v>848</v>
      </c>
      <c r="B30" s="6">
        <f>'Pengujian_100_Sampel'!Q107</f>
        <v>74.58179999999999</v>
      </c>
      <c r="C30" s="6">
        <f>AVERAGEIF('Pengujian_100_Sampel'!Q3:Q102,"&gt;=0")</f>
        <v>91.21285714285715</v>
      </c>
      <c r="D30" s="5" t="s">
        <v>849</v>
      </c>
    </row>
    <row r="31" spans="1:9">
      <c r="A31" s="5" t="s">
        <v>515</v>
      </c>
      <c r="B31" s="6">
        <f>'Pengujian_100_Sampel'!Q108</f>
        <v>125.092655868691324</v>
      </c>
      <c r="C31" s="6">
        <f>SQRT(SUMPRODUCT(('Pengujian_100_Sampel'!Q3:Q102&gt;=0)*('Pengujian_100_Sampel'!Q3:Q102-C30)^2)/(C28-1))</f>
        <v>41.92651039887299</v>
      </c>
      <c r="D31" s="5" t="s">
        <v>850</v>
      </c>
    </row>
    <row r="32" spans="1:9">
      <c r="A32" s="5" t="s">
        <v>851</v>
      </c>
      <c r="B32" s="16">
        <f>_xlfn.T.INV.2T(0.05,B28-1)</f>
        <v>1.98421695158642</v>
      </c>
      <c r="C32" s="16">
        <f>_xlfn.T.INV.2T(0.05,C28-1)</f>
        <v>1.98472318601399</v>
      </c>
      <c r="D32" s="5" t="s">
        <v>852</v>
      </c>
    </row>
    <row r="33" spans="1:9">
      <c r="A33" s="5" t="s">
        <v>853</v>
      </c>
      <c r="B33" s="6">
        <f>'Pengujian_100_Sampel'!Q111</f>
        <v>24.81838292434836</v>
      </c>
      <c r="C33" s="6">
        <f>C32*C31/SQRT(C28)</f>
        <v>8.40573360864623</v>
      </c>
      <c r="D33" s="5" t="s">
        <v>854</v>
      </c>
    </row>
    <row r="34" spans="1:9">
      <c r="A34" s="5" t="s">
        <v>855</v>
      </c>
      <c r="B34" s="5" t="str">
        <f>'Pengujian_100_Sampel'!Q121</f>
        <v>74.58 ± 24.82</v>
      </c>
      <c r="C34" s="5" t="str">
        <f>TEXT(C30,"0.00")&amp;" ± "&amp;TEXT(C33,"0.00")</f>
        <v>91.21 ± 8.41</v>
      </c>
      <c r="D34" s="5"/>
    </row>
    <row r="35" spans="1:9">
      <c r="A35" s="5" t="s">
        <v>856</v>
      </c>
      <c r="B35" s="6">
        <f>'Pengujian_100_Sampel'!L107</f>
        <v>248.43079999999995</v>
      </c>
      <c r="C35" s="6">
        <f>_xlfn.AVERAGEIFS('Pengujian_100_Sampel'!L3:L102,'Pengujian_100_Sampel'!Q3:Q102,"&gt;=0")</f>
        <v>248.84387755102034</v>
      </c>
      <c r="D35" s="5" t="s">
        <v>857</v>
      </c>
    </row>
    <row r="36" spans="1:9">
      <c r="A36" s="5" t="s">
        <v>858</v>
      </c>
      <c r="B36" s="25">
        <f>1-B30/B35</f>
        <v>0.69978843203017</v>
      </c>
      <c r="C36" s="25">
        <f>1-C30/C35</f>
        <v>0.63345348079076</v>
      </c>
      <c r="D36" s="5" t="s">
        <v>859</v>
      </c>
    </row>
    <row r="37" spans="1:9">
      <c r="A37" s="5" t="s">
        <v>860</v>
      </c>
      <c r="B37" s="16">
        <f>AVERAGE('Pengujian_100_Sampel'!V3:V102)</f>
        <v>173.84899999999999</v>
      </c>
      <c r="C37" s="16">
        <f>_xlfn.AVERAGEIFS('Pengujian_100_Sampel'!V3:V102,'Pengujian_100_Sampel'!Q3:Q102,"&gt;=0")</f>
        <v>157.63102040816324</v>
      </c>
      <c r="D37" s="5" t="s">
        <v>861</v>
      </c>
    </row>
    <row r="38" spans="1:9">
      <c r="A38" s="5" t="s">
        <v>862</v>
      </c>
      <c r="B38" s="16">
        <f>_xlfn.STDEV.S('Pengujian_100_Sampel'!V3:V102)</f>
        <v>129.55996124021357</v>
      </c>
      <c r="C38" s="16">
        <f>SQRT(SUMPRODUCT(('Pengujian_100_Sampel'!Q3:Q102&gt;=0)*('Pengujian_100_Sampel'!V3:V102-C37)^2)/(C28-1))</f>
        <v>61.74557539955603</v>
      </c>
      <c r="D38" s="5"/>
    </row>
    <row r="39" spans="1:9">
      <c r="A39" s="5" t="s">
        <v>518</v>
      </c>
      <c r="B39" s="16">
        <f>'Pengujian_100_Sampel'!L117</f>
        <v>13.41842019215113</v>
      </c>
      <c r="C39" s="16">
        <f>C37/(C38/SQRT(C28))</f>
        <v>25.27253942142002</v>
      </c>
      <c r="D39" s="5" t="s">
        <v>863</v>
      </c>
    </row>
    <row r="40" spans="1:9">
      <c r="A40" s="5" t="s">
        <v>864</v>
      </c>
      <c r="B40" s="18">
        <f>_xlfn.T.DIST.2T(B39,B28-1)</f>
        <v>0</v>
      </c>
      <c r="C40" s="18">
        <f>_xlfn.T.DIST.2T(C39,C28-1)</f>
        <v>0</v>
      </c>
      <c r="D40" s="5" t="s">
        <v>865</v>
      </c>
    </row>
    <row r="42" spans="1:9">
      <c r="A42" t="s">
        <v>866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Pengujian_100_Sampel</vt:lpstr>
      <vt:lpstr>Analisis_Sensitivitas</vt:lpstr>
      <vt:lpstr>Proyeksi_Skalabilitas</vt:lpstr>
      <vt:lpstr>Diversitas_Kueri_Tabel9</vt:lpstr>
      <vt:lpstr>Master_Indeks_Overview</vt:lpstr>
      <vt:lpstr>Panduan_Angka_PlusMinus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2026-10-19T00:29:31+00:00</dcterms:created>
  <dcterms:modified xsi:type="dcterms:W3CDTF">2026-10-19T00:29:31+00:00</dcterms:modified>
  <dc:title>Untitled Spreadsheet</dc:title>
  <dc:description/>
  <dc:subject/>
  <cp:keywords/>
  <cp:category/>
</cp:coreProperties>
</file>